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bound vs Triage (7-9-26)" sheetId="2" state="visible" r:id="rId4"/>
    <sheet name="Surplus – Return Candidates" sheetId="3" state="visible" r:id="rId5"/>
    <sheet name="Shortage – Order Gaps" sheetId="4" state="visible" r:id="rId6"/>
    <sheet name="Not Yet Ordered" sheetId="5" state="visible" r:id="rId7"/>
    <sheet name="PLS PO $ Summary (7-28-26)" sheetId="6" state="visible" r:id="rId8"/>
    <sheet name="Open Order Detail (7-9-26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<sst xmlns="http://schemas.openxmlformats.org/spreadsheetml/2006/main" count="2534" uniqueCount="803">
  <si>
    <t xml:space="preserve">NEW BALTIMORE — MATERIAL SURPLUS / SHORTAGE TRIAGE</t>
  </si>
  <si>
    <t xml:space="preserve">Prepared by CVR Engineering · August 5, 2026 · Source-verified rebuild of the CWO reconciliation data</t>
  </si>
  <si>
    <t xml:space="preserve">PURPOSE</t>
  </si>
  <si>
    <t xml:space="preserve">One prioritized list of what appears over-ordered (return / restock candidates to free laydown space), what appears</t>
  </si>
  <si>
    <t xml:space="preserve">under-ordered, and what has a CUE requirement but no captured order. Built from the project-wide rollup of the</t>
  </si>
  <si>
    <t xml:space="preserve">15 CWO reconciliation workbooks (BOM vs CUE Material Summary vs PLS actual orders).</t>
  </si>
  <si>
    <t xml:space="preserve">VALIDATION PERFORMED</t>
  </si>
  <si>
    <t xml:space="preserve">CVR independently re-parsed the CUE Estimate PDF for CWO 73305080 (682 line items). Result: the reconciliation</t>
  </si>
  <si>
    <t xml:space="preserve">workbook data matched the source exactly — 60/60 IM numbers, zero quantity mismatches, total cost identical</t>
  </si>
  <si>
    <t xml:space="preserve">($36,177.10). Key finding: the "truncated" DTE IM numbers are only clipped visually in the PDF display; the full</t>
  </si>
  <si>
    <t xml:space="preserve">18-digit values are intact in the PDF text layer and fully recoverable. No new DTE/CUE exports are required.</t>
  </si>
  <si>
    <t xml:space="preserve">CAVEATS — READ BEFORE ACTING</t>
  </si>
  <si>
    <t xml:space="preserve">1. CUE-side quantities are source-verified for one CWO (73305080); the other 14 CWOs used the same extraction</t>
  </si>
  <si>
    <t xml:space="preserve">    method but have not been line-checked. Spot-check before large-dollar decisions.</t>
  </si>
  <si>
    <t xml:space="preserve">2. Actual Ordered quantities come from PLS Order Acknowledgment PDFs as captured in the reconciliation files.</t>
  </si>
  <si>
    <t xml:space="preserve">    Before physically returning anything, verify the line against the PLS PO record — request a line-item export</t>
  </si>
  <si>
    <t xml:space="preserve">    from PLS (IM, description, qty ordered, qty delivered, PO no., promise date). That export supersedes this file.</t>
  </si>
  <si>
    <t xml:space="preserve">3. Unit costs are derived from CUE extended costs (cost ÷ qty) and are estimate-grade, for prioritization only.</t>
  </si>
  <si>
    <t xml:space="preserve">4. "No captured order" can mean not ordered OR ordered outside the documents reviewed. Confirm with PLS.</t>
  </si>
  <si>
    <t xml:space="preserve">5. 68 no-IM BOM rows across the project still need manual mapping (see the rollup workbook, No-IM tabs).</t>
  </si>
  <si>
    <t xml:space="preserve">HOW TO USE (LEGEND)</t>
  </si>
  <si>
    <t xml:space="preserve">Yellow cells are the only cells to edit: "Verified vs PLS?" (Y/N) and "Disposition / Action" (e.g., RETURN,</t>
  </si>
  <si>
    <t xml:space="preserve">RESTOCK-YARD, KEEP-FUTURE-WO, ORDER, NO ACTION). Example: row 5 of Surplus tab might read  Y | RETURN — reel to PLS.</t>
  </si>
  <si>
    <t xml:space="preserve">All other columns are data or formulas — do not overwrite. YARD flag = bulky item (poles, cable, crossarms, anchors).</t>
  </si>
  <si>
    <t xml:space="preserve">IMMEDIATE YARD RELIEF (JOE): filter the Surplus tab on YARD = "YES" — cable reels and poles top the list.</t>
  </si>
  <si>
    <t xml:space="preserve">OPEN ORDERS vs TRIAGE — ACTION LIST</t>
  </si>
  <si>
    <t xml:space="preserve">Source: PLS Open Order Report NBALT as of 7/9/26 (197 open lines, line-item level with DTE IM). Open report shows undelivered lines only — delivered history not included.</t>
  </si>
  <si>
    <t xml:space="preserve">A. STOP-SHIP REVIEW — already-surplus items with MORE inbound (cancel/reduce/divert BEFORE delivery; cheaper than returns, saves yard space)</t>
  </si>
  <si>
    <t xml:space="preserve">DTE IM</t>
  </si>
  <si>
    <t xml:space="preserve">Description</t>
  </si>
  <si>
    <t xml:space="preserve">Surplus Today</t>
  </si>
  <si>
    <t xml:space="preserve">Open Inbound Qty</t>
  </si>
  <si>
    <t xml:space="preserve">Est. Unit Cost</t>
  </si>
  <si>
    <t xml:space="preserve">Inbound Value at Risk</t>
  </si>
  <si>
    <t xml:space="preserve">Expected Date(s)</t>
  </si>
  <si>
    <t xml:space="preserve">Order / PO (lines)</t>
  </si>
  <si>
    <t xml:space="preserve">Action (fill in)</t>
  </si>
  <si>
    <t xml:space="preserve">300014321</t>
  </si>
  <si>
    <t xml:space="preserve">TRANSFORMER_DISTR,OIL FILLED/POLE,4800/8</t>
  </si>
  <si>
    <t xml:space="preserve">—</t>
  </si>
  <si>
    <t xml:space="preserve">12914382 L001</t>
  </si>
  <si>
    <t xml:space="preserve">100328220</t>
  </si>
  <si>
    <t xml:space="preserve">BRACKET_MNTNG,STNDOFF,INSULTR,24 IN LG,F</t>
  </si>
  <si>
    <t xml:space="preserve">09/04/2026</t>
  </si>
  <si>
    <t xml:space="preserve">12914023 L010</t>
  </si>
  <si>
    <t xml:space="preserve">100310426</t>
  </si>
  <si>
    <t xml:space="preserve">BRACKET_MNTNG,15 DEG STNDOFF,FOR FUSE AN</t>
  </si>
  <si>
    <t xml:space="preserve">12914023 L012; 12914067 L014; 12914103 L008; 12914103 L009; </t>
  </si>
  <si>
    <t xml:space="preserve">100095608</t>
  </si>
  <si>
    <t xml:space="preserve">CROSSARM_ASSY,DEADEND WITH CENTR BRKT,8</t>
  </si>
  <si>
    <t xml:space="preserve">07/29/2026</t>
  </si>
  <si>
    <t xml:space="preserve">12914023 L025; 12914067 L037; 12914103 L022; 12914135 L028; </t>
  </si>
  <si>
    <t xml:space="preserve">100301153</t>
  </si>
  <si>
    <t xml:space="preserve">BRACKET_MNTNG,STND OFF,LINE POST INSULTR</t>
  </si>
  <si>
    <t xml:space="preserve">08/11/2026</t>
  </si>
  <si>
    <t xml:space="preserve">12914023 L051; 12914067 L065; 12914135 L058; 12914157 L057; </t>
  </si>
  <si>
    <t xml:space="preserve">100339983</t>
  </si>
  <si>
    <t xml:space="preserve">FUSE_ASSY,CURLMTG,7.6KV,30 AMP</t>
  </si>
  <si>
    <t xml:space="preserve">07/23/2026</t>
  </si>
  <si>
    <t xml:space="preserve">12914067 L070; 12914103 L051; 12914135 L061; 12914157 L059; </t>
  </si>
  <si>
    <t xml:space="preserve">100303365</t>
  </si>
  <si>
    <t xml:space="preserve">CROSSARM_ASSY,TANGNT WITH CENTR BRKT,8 F</t>
  </si>
  <si>
    <t xml:space="preserve">12914023 L054; 12914067 L073; 12914103 L052; 12914135 L063; </t>
  </si>
  <si>
    <t xml:space="preserve">100303366</t>
  </si>
  <si>
    <t xml:space="preserve">CROSSARM_ASSY,TANGNT WITH CENTR BRKT,10</t>
  </si>
  <si>
    <t xml:space="preserve">12914067 L074; 12914103 L053; 12914135 L064; 12914157 L062; </t>
  </si>
  <si>
    <t xml:space="preserve">100310428</t>
  </si>
  <si>
    <t xml:space="preserve">12914202 L015; 12914220 L013; 12914239 L015; 12914260 L009; </t>
  </si>
  <si>
    <t xml:space="preserve">100336388</t>
  </si>
  <si>
    <t xml:space="preserve">CABLE_CNTRL,POWR AND CNTRL</t>
  </si>
  <si>
    <t xml:space="preserve">12914188 L070</t>
  </si>
  <si>
    <t xml:space="preserve">100322238</t>
  </si>
  <si>
    <t xml:space="preserve">INSULATOR_SUPPORT,DISTRBTN RISR,19.7 IN</t>
  </si>
  <si>
    <t xml:space="preserve">12914067 L064; 12914157 L056; 12914220 L043; 12914239 L053; </t>
  </si>
  <si>
    <t xml:space="preserve">100310427</t>
  </si>
  <si>
    <t xml:space="preserve">12914023 L014; 12914157 L014; 12914202 L014; 12914220 L012; </t>
  </si>
  <si>
    <t xml:space="preserve">100103235</t>
  </si>
  <si>
    <t xml:space="preserve">CONNECTOR_CABLE,WDGE,ALUM,ALUM,477KCMIL-</t>
  </si>
  <si>
    <t xml:space="preserve">09/10/2026</t>
  </si>
  <si>
    <t xml:space="preserve">12914202 L068; 12914260 L030; 12914361 L051</t>
  </si>
  <si>
    <t xml:space="preserve">100051352</t>
  </si>
  <si>
    <t xml:space="preserve">INSULATOR_STRAIN,CONDUCTOR DEADEND,25 IN</t>
  </si>
  <si>
    <t xml:space="preserve">09/22/2026</t>
  </si>
  <si>
    <t xml:space="preserve">12914023 L037</t>
  </si>
  <si>
    <t xml:space="preserve">100052588</t>
  </si>
  <si>
    <t xml:space="preserve">CONNECTOR_CABLE,WDGE,ALUM,ACSR/ALUM,477K</t>
  </si>
  <si>
    <t xml:space="preserve">10/30/2026</t>
  </si>
  <si>
    <t xml:space="preserve">12914023 L017</t>
  </si>
  <si>
    <t xml:space="preserve">100043150</t>
  </si>
  <si>
    <t xml:space="preserve">CONNECTOR_CABLE,WDGE,ALUM,ACSR/ALUM/CU,2</t>
  </si>
  <si>
    <t xml:space="preserve">11/11/2026</t>
  </si>
  <si>
    <t xml:space="preserve">12914067 L021</t>
  </si>
  <si>
    <t xml:space="preserve">100008748</t>
  </si>
  <si>
    <t xml:space="preserve">INSULATOR_STRAIN,GUY,27 IN LG,FBRGLAS 18</t>
  </si>
  <si>
    <t xml:space="preserve">12914023 L036</t>
  </si>
  <si>
    <t xml:space="preserve">100088112</t>
  </si>
  <si>
    <t xml:space="preserve">BRACKET_MNTNG,SHEILD WIRE,MALLEABLE/DUCT</t>
  </si>
  <si>
    <t xml:space="preserve">12914067 L067</t>
  </si>
  <si>
    <t xml:space="preserve">100074602</t>
  </si>
  <si>
    <t xml:space="preserve">ROD_ARMOR,ALUM ALLOY,56 IN LG,ACSR,3/0,6</t>
  </si>
  <si>
    <t xml:space="preserve">07/22/2026</t>
  </si>
  <si>
    <t xml:space="preserve">12914067 L022; 12914188 L017; 12914202 L018; 12914239 L020; </t>
  </si>
  <si>
    <t xml:space="preserve">100047695</t>
  </si>
  <si>
    <t xml:space="preserve">PIN_INSULATOR,HD,3/4 IN X 7 IN,GALV STL,</t>
  </si>
  <si>
    <t xml:space="preserve">08/19/2026</t>
  </si>
  <si>
    <t xml:space="preserve">12914135 L051; 12914188 L053</t>
  </si>
  <si>
    <t xml:space="preserve">100012488</t>
  </si>
  <si>
    <t xml:space="preserve">CUTOUT_FUSED,OPN,POLYMER,15KV MAX,110KV</t>
  </si>
  <si>
    <t xml:space="preserve">08/17/2026</t>
  </si>
  <si>
    <t xml:space="preserve">12914135 L066; 12914188 L068; 12914333 L049; 12914340 L052</t>
  </si>
  <si>
    <t xml:space="preserve">100106838</t>
  </si>
  <si>
    <t xml:space="preserve">PIN_INSULATOR,ANGLE XARM BRAKET,HOT DIPP</t>
  </si>
  <si>
    <t xml:space="preserve">12914023 L052; 12914135 L060</t>
  </si>
  <si>
    <t xml:space="preserve">100084645</t>
  </si>
  <si>
    <t xml:space="preserve">DEADEND_PREFORMED,34 IN LG,ALUM,0.030 IN</t>
  </si>
  <si>
    <t xml:space="preserve">12914067 L025; 12914103 L016; 12914135 L018; 12914157 L019; </t>
  </si>
  <si>
    <t xml:space="preserve">100053167</t>
  </si>
  <si>
    <t xml:space="preserve">CLAMP_DEADEND,STRGHT LINE,MALLEABLE/DUCT</t>
  </si>
  <si>
    <t xml:space="preserve">12914239 L059a</t>
  </si>
  <si>
    <t xml:space="preserve">100101263</t>
  </si>
  <si>
    <t xml:space="preserve">WASHER_SQUARE,7/8 IN ID,3 IN X 3 IN,3/16</t>
  </si>
  <si>
    <t xml:space="preserve">12914359 L002</t>
  </si>
  <si>
    <t xml:space="preserve">100015054</t>
  </si>
  <si>
    <t xml:space="preserve">Connector Wedge Al/Cu #6-#2</t>
  </si>
  <si>
    <t xml:space="preserve">11/03/2026</t>
  </si>
  <si>
    <t xml:space="preserve">12914023 L016; 12914103 L014; 12914157 L017; 12914202 L017; </t>
  </si>
  <si>
    <t xml:space="preserve">100062712</t>
  </si>
  <si>
    <t xml:space="preserve">Connector Wedge Al/Cu #6-1/0</t>
  </si>
  <si>
    <t xml:space="preserve">10/28/2026</t>
  </si>
  <si>
    <t xml:space="preserve">12914135 L016; 12914188 L016; 12914340 L016</t>
  </si>
  <si>
    <t xml:space="preserve">100035985</t>
  </si>
  <si>
    <t xml:space="preserve">40kV Suspension Deadend Insulator</t>
  </si>
  <si>
    <t xml:space="preserve">08/25/2026</t>
  </si>
  <si>
    <t xml:space="preserve">12914361 L048</t>
  </si>
  <si>
    <t xml:space="preserve">SUBTOTAL — inbound value at risk</t>
  </si>
  <si>
    <t xml:space="preserve">B. SHORTAGES ALREADY COVERED BY OPEN ORDERS — do NOT re-buy these; inbound covers or exceeds the gap</t>
  </si>
  <si>
    <t xml:space="preserve">Shortfall (triage)</t>
  </si>
  <si>
    <t xml:space="preserve">Covered?</t>
  </si>
  <si>
    <t xml:space="preserve">Note</t>
  </si>
  <si>
    <t xml:space="preserve">100019342</t>
  </si>
  <si>
    <t xml:space="preserve">STRAP_GROUND,GALV STL</t>
  </si>
  <si>
    <t xml:space="preserve">07/07/2026</t>
  </si>
  <si>
    <t xml:space="preserve">100075415</t>
  </si>
  <si>
    <t xml:space="preserve">GUARD_PROTCT,GRND WIRE MOLDING,1 IN WD,D</t>
  </si>
  <si>
    <t xml:space="preserve">TBD</t>
  </si>
  <si>
    <t xml:space="preserve">Open qty far exceeds triage shortfall — order-ack capture was incomplete; open report is authoritative</t>
  </si>
  <si>
    <t xml:space="preserve">100321662</t>
  </si>
  <si>
    <t xml:space="preserve">ATTACHMENT_MNTNG,GUY, NO CLEATS,4 IN,DUC</t>
  </si>
  <si>
    <t xml:space="preserve">100043158</t>
  </si>
  <si>
    <t xml:space="preserve">CONNECTOR_CABLE,WDGE,ALUM,ACSR,1/0 AWG A</t>
  </si>
  <si>
    <t xml:space="preserve">11/12/2026</t>
  </si>
  <si>
    <t xml:space="preserve">100095397</t>
  </si>
  <si>
    <t xml:space="preserve">CROSSARM_ASSY,DEADEND WITH CENTR BRKT,10</t>
  </si>
  <si>
    <t xml:space="preserve">100339982</t>
  </si>
  <si>
    <t xml:space="preserve">FUSE_ASSY,CURLMTG,7.6KV,20 AMP</t>
  </si>
  <si>
    <t xml:space="preserve">300014322</t>
  </si>
  <si>
    <t xml:space="preserve">100054802</t>
  </si>
  <si>
    <t xml:space="preserve">SWITCH_MANUAL,DISC,15KV,600 AMP,2 CNTCTS</t>
  </si>
  <si>
    <t xml:space="preserve">08/14/2026</t>
  </si>
  <si>
    <t xml:space="preserve">100108386</t>
  </si>
  <si>
    <t xml:space="preserve">CONNECTOR_CABLE,WDGE,ALUM,ACSR/ALUM/CU,6</t>
  </si>
  <si>
    <t xml:space="preserve">09/28/2026</t>
  </si>
  <si>
    <t xml:space="preserve">100024531</t>
  </si>
  <si>
    <t xml:space="preserve">CONNECTOR_CABLE,PARRELL,ALUM,ACSR/ALUM,N</t>
  </si>
  <si>
    <t xml:space="preserve">100097490</t>
  </si>
  <si>
    <t xml:space="preserve">ANCHOR_SCREW,TD,10 IN,STL/IRON,1-3/8 IN</t>
  </si>
  <si>
    <t xml:space="preserve">100302982</t>
  </si>
  <si>
    <t xml:space="preserve">BRACKET_MNTNG,POLETOP VRTCL,1-PHAS LP IN</t>
  </si>
  <si>
    <t xml:space="preserve">C. KEY CHECKS</t>
  </si>
  <si>
    <t xml:space="preserve">• ZERO items from the "Not Yet Ordered" tab appear in the open order report — that tab stands, pending closed-order history.</t>
  </si>
  <si>
    <t xml:space="preserve">• NO WOOD POLES on PLS open order (only pole-mount transformers). The 81 cedar poles (~$187k est.) are NOT inbound from PLS —</t>
  </si>
  <si>
    <t xml:space="preserve">   confirm the pole supply chain (other supplier? closed order? unordered?) before assuming the delivery Joe expects.</t>
  </si>
  <si>
    <t xml:space="preserve">• No past-due lines as of 7/9; statuses are Allocated / Not Past Due / On Hold. Several lines flagged "Req'd Expedite" with Sept-Nov expected dates.</t>
  </si>
  <si>
    <t xml:space="preserve">• Open report covers open lines only. Delivered history still comes from the full line-item export (or the order acks already reviewed).</t>
  </si>
  <si>
    <t xml:space="preserve">SURPLUS – RETURN CANDIDATES</t>
  </si>
  <si>
    <t xml:space="preserve">Actual ordered exceeds CUE requirement. Sorted by estimated value. Verify each line vs PLS before physical return. 91 items.</t>
  </si>
  <si>
    <t xml:space="preserve">UOM</t>
  </si>
  <si>
    <t xml:space="preserve"># CWOs</t>
  </si>
  <si>
    <t xml:space="preserve">Required (CUE)</t>
  </si>
  <si>
    <t xml:space="preserve">Ordered (PLS)</t>
  </si>
  <si>
    <t xml:space="preserve">Surplus Qty</t>
  </si>
  <si>
    <t xml:space="preserve">Unit Cost (est)</t>
  </si>
  <si>
    <t xml:space="preserve">Est. Value</t>
  </si>
  <si>
    <t xml:space="preserve">YARD</t>
  </si>
  <si>
    <t xml:space="preserve">Verified vs PLS?</t>
  </si>
  <si>
    <t xml:space="preserve">Disposition / Action</t>
  </si>
  <si>
    <t xml:space="preserve">100050777</t>
  </si>
  <si>
    <t xml:space="preserve">CABLE_INSUL,TRIPLEX,PE,1/0 AWG,ALUM,7 ST</t>
  </si>
  <si>
    <t xml:space="preserve">FT</t>
  </si>
  <si>
    <t xml:space="preserve">YES</t>
  </si>
  <si>
    <t xml:space="preserve">100043531</t>
  </si>
  <si>
    <t xml:space="preserve">INSULATOR_ELECT,CLAMP TOP,28KV,POLYMER,I</t>
  </si>
  <si>
    <t xml:space="preserve">EA</t>
  </si>
  <si>
    <t xml:space="preserve">100115939</t>
  </si>
  <si>
    <t xml:space="preserve">CABLE_BARE,636KCMIL,ALUM,37 STRAND,6200</t>
  </si>
  <si>
    <t xml:space="preserve">100079513</t>
  </si>
  <si>
    <t xml:space="preserve">NAIL_FASTENER,BARB,3/8 IN,2 IN LG,GALV S</t>
  </si>
  <si>
    <t xml:space="preserve">100088575</t>
  </si>
  <si>
    <t xml:space="preserve">POLE_WOOD, PINE, 45FT, CL 3</t>
  </si>
  <si>
    <t xml:space="preserve">100025788</t>
  </si>
  <si>
    <t xml:space="preserve">POLE_WOOD, PINE, 50FT, CL3</t>
  </si>
  <si>
    <t xml:space="preserve">100045998</t>
  </si>
  <si>
    <t xml:space="preserve">ARRESTER_SURGE,DISTRBTN,POLYMER,METL OXI</t>
  </si>
  <si>
    <t xml:space="preserve">100319350</t>
  </si>
  <si>
    <t xml:space="preserve">RACK_INSULATOR,HD SECNDRY,PORCLN SPOOLS,</t>
  </si>
  <si>
    <t xml:space="preserve">100057672</t>
  </si>
  <si>
    <t xml:space="preserve">ROD_ANCHOR,EXT,1-1/2 IN DIA,GALV STL,3-1</t>
  </si>
  <si>
    <t xml:space="preserve">100039650</t>
  </si>
  <si>
    <t xml:space="preserve">CLAMP_DEADEND,STRGHT LINE,ALUM ALLOY,ACS</t>
  </si>
  <si>
    <t xml:space="preserve">100319274</t>
  </si>
  <si>
    <t xml:space="preserve">RACK_INSULATOR,HD TRIPLX SECNDRY,PORCLN</t>
  </si>
  <si>
    <t xml:space="preserve">100106779</t>
  </si>
  <si>
    <t xml:space="preserve">ROD_ANCHOR,1 IN DIA,GALV STL,7 FT LG,TRI</t>
  </si>
  <si>
    <t xml:space="preserve">100021353</t>
  </si>
  <si>
    <t xml:space="preserve">LINK_FUSE,UNV,30 AMP</t>
  </si>
  <si>
    <t xml:space="preserve">100094865</t>
  </si>
  <si>
    <t xml:space="preserve">ANCHOR_POLE_BASE,8 IN,CAST IRON/STL,PISA</t>
  </si>
  <si>
    <t xml:space="preserve">100021354</t>
  </si>
  <si>
    <t xml:space="preserve">BOLT_MACHINE,5/8 IN DIA,11 TPI,16 IN LG,</t>
  </si>
  <si>
    <t xml:space="preserve">100058550</t>
  </si>
  <si>
    <t xml:space="preserve">100007836</t>
  </si>
  <si>
    <t xml:space="preserve">WIRE_TIE,NO. 8,CU,54 IN LG</t>
  </si>
  <si>
    <t xml:space="preserve">100062852</t>
  </si>
  <si>
    <t xml:space="preserve">STUD_INSULATOR,3/4 IN DIA X 1-3/4 IN LG,</t>
  </si>
  <si>
    <t xml:space="preserve">100095866</t>
  </si>
  <si>
    <t xml:space="preserve">INSULATOR_STRAIN,GUY,63 IN LG,FBRGLAS,CL</t>
  </si>
  <si>
    <t xml:space="preserve">100039761</t>
  </si>
  <si>
    <t xml:space="preserve">CABLE_BARE,1/0 AWG,6 X 1 STRANDD,6095 FT</t>
  </si>
  <si>
    <t xml:space="preserve">100017594</t>
  </si>
  <si>
    <t xml:space="preserve">INSULATOR_SUSP,DEADEND,4-1/4 IN,PORCLN,S</t>
  </si>
  <si>
    <t xml:space="preserve">100034502</t>
  </si>
  <si>
    <t xml:space="preserve">BOLT_EYE,5/8 IN DIA,11 TPI,12 IN LG,GALV</t>
  </si>
  <si>
    <t xml:space="preserve">100020751</t>
  </si>
  <si>
    <t xml:space="preserve">WIRE_TIE,NO. 4,ALUM,132 IN LG</t>
  </si>
  <si>
    <t xml:space="preserve">100099096</t>
  </si>
  <si>
    <t xml:space="preserve">CABLE_INSUL,WTHRPRF,45 MIL XLPE,2 AWG,SO</t>
  </si>
  <si>
    <t xml:space="preserve">100036858</t>
  </si>
  <si>
    <t xml:space="preserve">BRACKET_SUPPORT,TERMINATN/ARSTR</t>
  </si>
  <si>
    <t xml:space="preserve">100083862</t>
  </si>
  <si>
    <t xml:space="preserve">100073592</t>
  </si>
  <si>
    <t xml:space="preserve">INSULATOR_SUSP,DEADEND,12-3/4(+-1/4) IN,</t>
  </si>
  <si>
    <t xml:space="preserve">100050858</t>
  </si>
  <si>
    <t xml:space="preserve">CLAMP_CABLE,MALLEABLE DI OR MI,0.16 IN-0</t>
  </si>
  <si>
    <t xml:space="preserve">100082948</t>
  </si>
  <si>
    <t xml:space="preserve">DEADEND_PREFORMED,GUY GRIP,31 IN LG,STL,</t>
  </si>
  <si>
    <t xml:space="preserve">100004757</t>
  </si>
  <si>
    <t xml:space="preserve">MARKER_GUY,PLSTC,1 IN TO 2-1/2 IN DIA,PE</t>
  </si>
  <si>
    <t xml:space="preserve">100027126</t>
  </si>
  <si>
    <t xml:space="preserve">CLEVIS_STRN_INSUL,SECNDRY SRVC,PORCLN,1-</t>
  </si>
  <si>
    <t xml:space="preserve">100062663</t>
  </si>
  <si>
    <t xml:space="preserve">BOLT_MACHINE,5/8 IN DIA,11 TPI,14 IN LG,</t>
  </si>
  <si>
    <t xml:space="preserve">100018327</t>
  </si>
  <si>
    <t xml:space="preserve">WASHER_FLAT,5/8 IN ID,1-3/4 IN OD,WROUGH</t>
  </si>
  <si>
    <t xml:space="preserve">100088479</t>
  </si>
  <si>
    <t xml:space="preserve">WASHER_LOCKING,HELICAL,5/8 IN,GALV STL A</t>
  </si>
  <si>
    <t xml:space="preserve">100008297</t>
  </si>
  <si>
    <t xml:space="preserve">INSULATOR_PIN,1 IN DIA,PORCLN,F-NECK,LAR</t>
  </si>
  <si>
    <t xml:space="preserve">100039652</t>
  </si>
  <si>
    <t xml:space="preserve">ROD_ANCHOR,5/8 IN DIA,GALV STL,7 FT LG,T</t>
  </si>
  <si>
    <t xml:space="preserve">100104417</t>
  </si>
  <si>
    <t xml:space="preserve">PIN_INSULATOR,XARM,5/8 IN X 6-1/2 IN,GAL</t>
  </si>
  <si>
    <t xml:space="preserve">100079751</t>
  </si>
  <si>
    <t xml:space="preserve">CONNECTOR_CABLE,GRND,NO.10-NO.1,1/2 IN,B</t>
  </si>
  <si>
    <t xml:space="preserve">100103644</t>
  </si>
  <si>
    <t xml:space="preserve">SUPPORT_WIRE,DWNLEAD,18 IN,FBRGLAS ROD,5</t>
  </si>
  <si>
    <t xml:space="preserve">100027139</t>
  </si>
  <si>
    <t xml:space="preserve">STUD_INSULATOR,3/4 IN DIA X 7 IN LG,GALV</t>
  </si>
  <si>
    <t xml:space="preserve">100102973</t>
  </si>
  <si>
    <t xml:space="preserve">THIMBLE_WIRE_ROPE,5/8 IN DIA,GALV STL,1</t>
  </si>
  <si>
    <t xml:space="preserve">100097576</t>
  </si>
  <si>
    <t xml:space="preserve">INSULATOR_STRAIN,DEADEND,3 IN SPOOL,PORC</t>
  </si>
  <si>
    <t xml:space="preserve">100024990</t>
  </si>
  <si>
    <t xml:space="preserve">TIE_CABLE,NYLON,0.30 IN WD,15.1 IN LG,3</t>
  </si>
  <si>
    <t xml:space="preserve">100007567</t>
  </si>
  <si>
    <t xml:space="preserve">CONNECTOR_OVERHEAD,FIRED ON,1/0 AWG,ALUM</t>
  </si>
  <si>
    <t xml:space="preserve">100039663</t>
  </si>
  <si>
    <t xml:space="preserve">WASHER_LOCKING,DBL COIL,5/8 IN,GALV STL</t>
  </si>
  <si>
    <t xml:space="preserve">100052587</t>
  </si>
  <si>
    <t xml:space="preserve">WASHER_SQUARE,2-1/4 IN X 2-1/4 IN,3/16 I</t>
  </si>
  <si>
    <t xml:space="preserve">100317966</t>
  </si>
  <si>
    <t xml:space="preserve">CONNECTOR_OVERHEAD,HOT LINE,NO. 6-4/0,0.</t>
  </si>
  <si>
    <t xml:space="preserve">100017876</t>
  </si>
  <si>
    <t xml:space="preserve">CONNECTOR_CABLE,TAP,BRNZ,CU,NO. 2</t>
  </si>
  <si>
    <t xml:space="preserve">100057790</t>
  </si>
  <si>
    <t xml:space="preserve">INSULATOR_SPOOL,WET,PORCLN,3 IN HT,SKY G</t>
  </si>
  <si>
    <t xml:space="preserve">100030941</t>
  </si>
  <si>
    <t xml:space="preserve">LINK_FUSE,UNV,40 AMP</t>
  </si>
  <si>
    <t xml:space="preserve">100033980</t>
  </si>
  <si>
    <t xml:space="preserve">SCREW_LAG,1/2 IN DIA,4 IN LG,HOT DIP GAL</t>
  </si>
  <si>
    <t xml:space="preserve">100104745</t>
  </si>
  <si>
    <t xml:space="preserve">LINK_FUSE,UNV,25 AMP</t>
  </si>
  <si>
    <t xml:space="preserve">100111213</t>
  </si>
  <si>
    <t xml:space="preserve">SCREW_LAG,1/4 IN DIA,2-1/2 IN LG,GALV ST</t>
  </si>
  <si>
    <t xml:space="preserve">100003861</t>
  </si>
  <si>
    <t xml:space="preserve">CLIP_STATIC,INSULTR DISTRBTN,5/8 IN DIA</t>
  </si>
  <si>
    <t xml:space="preserve">100036719</t>
  </si>
  <si>
    <t xml:space="preserve">NUT_EYE,5/8 IN,GALV STL</t>
  </si>
  <si>
    <t xml:space="preserve">100068975</t>
  </si>
  <si>
    <t xml:space="preserve">Fuse &amp; Arrester Mounting Bracket</t>
  </si>
  <si>
    <t xml:space="preserve">100102696</t>
  </si>
  <si>
    <t xml:space="preserve">Guy Insulator Attachment</t>
  </si>
  <si>
    <t xml:space="preserve">100099738</t>
  </si>
  <si>
    <t xml:space="preserve">3/4" X 10" Machine Bolt, Galv. Steel</t>
  </si>
  <si>
    <t xml:space="preserve">100327860</t>
  </si>
  <si>
    <t xml:space="preserve">3/4" x 7 3/4" Steel Pin with Lock Washer and Nut</t>
  </si>
  <si>
    <t xml:space="preserve">100042507</t>
  </si>
  <si>
    <t xml:space="preserve">Bracket_mntng shield wire</t>
  </si>
  <si>
    <t xml:space="preserve">100077194</t>
  </si>
  <si>
    <t xml:space="preserve">clamp susp 1/0</t>
  </si>
  <si>
    <t xml:space="preserve">100017083</t>
  </si>
  <si>
    <t xml:space="preserve">5/8" ground rod connector</t>
  </si>
  <si>
    <t xml:space="preserve">100024354</t>
  </si>
  <si>
    <t xml:space="preserve">5/8" x 16 LG Machine Bolt</t>
  </si>
  <si>
    <t xml:space="preserve">TOTAL (est. value)</t>
  </si>
  <si>
    <t xml:space="preserve">SHORTAGE – ORDER GAPS</t>
  </si>
  <si>
    <t xml:space="preserve">CUE requirement exceeds captured orders. Confirm no order exists before buying. 53 items.</t>
  </si>
  <si>
    <t xml:space="preserve">Shortfall Qty</t>
  </si>
  <si>
    <t xml:space="preserve">Est. Cost to Buy</t>
  </si>
  <si>
    <t xml:space="preserve">100048429</t>
  </si>
  <si>
    <t xml:space="preserve">CABLE_BARE,GRND,2 AWG,CU,SOLID,5000 FT L</t>
  </si>
  <si>
    <t xml:space="preserve">100042243</t>
  </si>
  <si>
    <t xml:space="preserve">POLE_WOOD, PINE, 60FT, CL 1</t>
  </si>
  <si>
    <t xml:space="preserve">100329907</t>
  </si>
  <si>
    <t xml:space="preserve">ROPE_WIRE,EHS,7/16 IN DIA,20800 LB</t>
  </si>
  <si>
    <t xml:space="preserve">100069509</t>
  </si>
  <si>
    <t xml:space="preserve">POLE_WOOD, PINE, 50FT, CL 1</t>
  </si>
  <si>
    <t xml:space="preserve">100097691</t>
  </si>
  <si>
    <t xml:space="preserve">CLAMP_JUMPER,BRNZ,CU,8-1/0</t>
  </si>
  <si>
    <t xml:space="preserve">100076666</t>
  </si>
  <si>
    <t xml:space="preserve">BRACKET_MNTNG,NEMA,ARSTR,3/8 IN X 1-3/4</t>
  </si>
  <si>
    <t xml:space="preserve">100319272</t>
  </si>
  <si>
    <t xml:space="preserve">CONNECTOR_CABLE,GRNDING,CU,NO. 6-2/0</t>
  </si>
  <si>
    <t xml:space="preserve">100042242</t>
  </si>
  <si>
    <t xml:space="preserve">POLE_WOOD, PINE, 55FT, CL 1</t>
  </si>
  <si>
    <t xml:space="preserve">100039653</t>
  </si>
  <si>
    <t xml:space="preserve">ADAPTER_PIPE,GUY,18 IN LG,GALV STL</t>
  </si>
  <si>
    <t xml:space="preserve">100035876</t>
  </si>
  <si>
    <t xml:space="preserve">ANCHOR_SCREW,TD, HELIX SHAFT ASSY,8-10 I</t>
  </si>
  <si>
    <t xml:space="preserve">100101751</t>
  </si>
  <si>
    <t xml:space="preserve">STAPLE_FASTENER,0.148 IN DIA X 1-1/2 INL</t>
  </si>
  <si>
    <t xml:space="preserve">LB</t>
  </si>
  <si>
    <t xml:space="preserve">100061029</t>
  </si>
  <si>
    <t xml:space="preserve">POLE_WOOD, PINE, 45FT, CL 1</t>
  </si>
  <si>
    <t xml:space="preserve">100065179</t>
  </si>
  <si>
    <t xml:space="preserve">MOUNT_TRNSCST,VEE,GALV STL,3 TRANSFRMRS,</t>
  </si>
  <si>
    <t xml:space="preserve">100107159</t>
  </si>
  <si>
    <t xml:space="preserve">POLE_WOOD, PINE, 55FT, CL 3</t>
  </si>
  <si>
    <t xml:space="preserve">100026047</t>
  </si>
  <si>
    <t xml:space="preserve">WASHER_CURVED,3 IN X 3 IN,MALLEABLE/DUCT</t>
  </si>
  <si>
    <t xml:space="preserve">100018203</t>
  </si>
  <si>
    <t xml:space="preserve">POLE_WOOD, PINE, 40FT, CL 3</t>
  </si>
  <si>
    <t xml:space="preserve">100020717</t>
  </si>
  <si>
    <t xml:space="preserve">ROD_GROUND,5/8 IN DIA,CRBN STL,8 FT LG</t>
  </si>
  <si>
    <t xml:space="preserve">100115241</t>
  </si>
  <si>
    <t xml:space="preserve">LINK_FUSE,UNV,15 AMP</t>
  </si>
  <si>
    <t xml:space="preserve">100088028</t>
  </si>
  <si>
    <t xml:space="preserve">BRACKET_SUPPORT,POLETOP,13.75 X 4.12 X 4</t>
  </si>
  <si>
    <t xml:space="preserve">100101009</t>
  </si>
  <si>
    <t xml:space="preserve">SCREW_CAP,1/2 IN DIA,13 TPI,2 IN LG,CU S</t>
  </si>
  <si>
    <t xml:space="preserve">100074493</t>
  </si>
  <si>
    <t xml:space="preserve">DEADEND_PREFORMED,GUY GRIP,38 IN LG,STL,</t>
  </si>
  <si>
    <t xml:space="preserve">100071675</t>
  </si>
  <si>
    <t xml:space="preserve">LUG_CMPRSSN,TERMNL,4/0 AWG,TINNED CU,2-H</t>
  </si>
  <si>
    <t xml:space="preserve">100073413</t>
  </si>
  <si>
    <t xml:space="preserve">BRACKET_MNTNG,KIT,ARSTR,1/4 IN THK MIN,G</t>
  </si>
  <si>
    <t xml:space="preserve">100105348</t>
  </si>
  <si>
    <t xml:space="preserve">CK_INSULATOR,SECNDRY,PORCLN SPOOLS,ANS</t>
  </si>
  <si>
    <t xml:space="preserve">100023899</t>
  </si>
  <si>
    <t xml:space="preserve">BOLT_MACHINE,5/8 IN DIA,11 TPI,12 IN LG,</t>
  </si>
  <si>
    <t xml:space="preserve">100069293</t>
  </si>
  <si>
    <t xml:space="preserve">BOLT_MACHINE,3/4 IN DIA,10 TPI,16 IN LG,</t>
  </si>
  <si>
    <t xml:space="preserve">100110224</t>
  </si>
  <si>
    <t xml:space="preserve">WASHER_SQUARE,9/16 IN ID,2 IN X 2 IN,1/8</t>
  </si>
  <si>
    <t xml:space="preserve">100070377</t>
  </si>
  <si>
    <t xml:space="preserve">CUTOUT_FUSED,OPN,POLYMER,7.2-14.4KV,110K</t>
  </si>
  <si>
    <t xml:space="preserve">100081480</t>
  </si>
  <si>
    <t xml:space="preserve">CONNECTOR_CABLE,TAP,BRNZ,NO. 6,SPLIT BOL</t>
  </si>
  <si>
    <t xml:space="preserve">100094898</t>
  </si>
  <si>
    <t xml:space="preserve">DEADEND_PREFORMED,GRIP,10 IN LG,STL,ALUM</t>
  </si>
  <si>
    <t xml:space="preserve">100012641</t>
  </si>
  <si>
    <t xml:space="preserve">BOLT_EYE,5/8 IN DIA,11 TPI,8 IN LG,GALV</t>
  </si>
  <si>
    <t xml:space="preserve">100317909</t>
  </si>
  <si>
    <t xml:space="preserve">CONNECTOR_TAP,SECNDRY H-TAP,ALUM</t>
  </si>
  <si>
    <t xml:space="preserve">100085230</t>
  </si>
  <si>
    <t xml:space="preserve">DEADEND_PREFORMED,GRIP,27 IN LG,STL,ACSR</t>
  </si>
  <si>
    <t xml:space="preserve">100105615</t>
  </si>
  <si>
    <t xml:space="preserve">BOLT_MACHINE,1/2 IN DIA,13 TPI,1-1/2 IN</t>
  </si>
  <si>
    <t xml:space="preserve">100022671</t>
  </si>
  <si>
    <t xml:space="preserve">LINK_FUSE,UNV,20 AMP</t>
  </si>
  <si>
    <t xml:space="preserve">100042455</t>
  </si>
  <si>
    <t xml:space="preserve">DEADEND_PREFORMED,GRIP,24 IN LG,STL,ACSR</t>
  </si>
  <si>
    <t xml:space="preserve">100032667</t>
  </si>
  <si>
    <t xml:space="preserve">BOLT_MACHINE,5/8 IN DIA,11 TPI,10 IN LG,</t>
  </si>
  <si>
    <t xml:space="preserve">100057013</t>
  </si>
  <si>
    <t xml:space="preserve">WASHER_CURVED,4 IN X 4 IN,MALLEABLE/DUCT</t>
  </si>
  <si>
    <t xml:space="preserve">100065979</t>
  </si>
  <si>
    <t xml:space="preserve">WASHER_LOCKING,REGULAR,3/4 IN,GALV STL A</t>
  </si>
  <si>
    <t xml:space="preserve">100019758</t>
  </si>
  <si>
    <t xml:space="preserve">NUT_SQUARE,5/8 IN,GALV STL,11 TPI</t>
  </si>
  <si>
    <t xml:space="preserve">100074517</t>
  </si>
  <si>
    <t xml:space="preserve">TIE_CABLE,NYLON,3/32 IN WD,5-1/4 IN LG,</t>
  </si>
  <si>
    <t xml:space="preserve">NOT YET ORDERED</t>
  </si>
  <si>
    <t xml:space="preserve">CUE requirement with NO captured order in reviewed documents — may be unordered OR ordered outside reviewed docs. 93 items.</t>
  </si>
  <si>
    <t xml:space="preserve">100289875</t>
  </si>
  <si>
    <t xml:space="preserve">POLE_WOOD,CEDAR,45 FT LG,CLASS 3</t>
  </si>
  <si>
    <t xml:space="preserve">300014341</t>
  </si>
  <si>
    <t xml:space="preserve">TRANSFORMER_DISTR,ISOLATION/OIL FILLED/P</t>
  </si>
  <si>
    <t xml:space="preserve">100332478</t>
  </si>
  <si>
    <t xml:space="preserve">SENSOR_CURRNT,LINE POST</t>
  </si>
  <si>
    <t xml:space="preserve">100289876</t>
  </si>
  <si>
    <t xml:space="preserve">POLE_WOOD,CEDAR,45 FT LG,CLASS 1</t>
  </si>
  <si>
    <t xml:space="preserve">100341161</t>
  </si>
  <si>
    <t xml:space="preserve">POLE_WOOD,CEDAR,45 FT LG,CLASS 2</t>
  </si>
  <si>
    <t xml:space="preserve">100313938</t>
  </si>
  <si>
    <t xml:space="preserve">POLE_WOOD,CEDAR,40 FT LG,CLASS 3</t>
  </si>
  <si>
    <t xml:space="preserve">100302471</t>
  </si>
  <si>
    <t xml:space="preserve">CONTROL_CAPACITOR,OH CAPCTR CNTRL,13.8V,</t>
  </si>
  <si>
    <t xml:space="preserve">100100489</t>
  </si>
  <si>
    <t xml:space="preserve">CABLE_INSUL,XLPE,6 AWG,CU,SOLID,1 CONDUC</t>
  </si>
  <si>
    <t xml:space="preserve">100049622</t>
  </si>
  <si>
    <t xml:space="preserve">LEAD_ELECT,SECNDRY,10 FT LG,CU,4/0 AWG</t>
  </si>
  <si>
    <t xml:space="preserve">100056487</t>
  </si>
  <si>
    <t xml:space="preserve">CABLE_BARE,1/0 AWG,CU,7 STRAND,ASTM B8/A</t>
  </si>
  <si>
    <t xml:space="preserve">100009193</t>
  </si>
  <si>
    <t xml:space="preserve">GUY_ASSY,5/16 IN DIA,125 FT LG,EHS STL S</t>
  </si>
  <si>
    <t xml:space="preserve">100111680</t>
  </si>
  <si>
    <t xml:space="preserve">CABLE_INSUL,XLPE,3/0 AWG,ALUM,19 STRANDD</t>
  </si>
  <si>
    <t xml:space="preserve">100289874</t>
  </si>
  <si>
    <t xml:space="preserve">POLE_WOOD,CEDAR,50 FT LG,CL 3,BUTT PRESE</t>
  </si>
  <si>
    <t xml:space="preserve">100032688</t>
  </si>
  <si>
    <t xml:space="preserve">ROPE_WIRE,5/16 IN DIA,STL,5000 FT LG REE</t>
  </si>
  <si>
    <t xml:space="preserve">100311653</t>
  </si>
  <si>
    <t xml:space="preserve">CONNECTOR_TAP,WDGE,ALUM ALLOY</t>
  </si>
  <si>
    <t xml:space="preserve">100043112</t>
  </si>
  <si>
    <t xml:space="preserve">CABLE_INSUL,XLPE,1/0 AWG,CU,7 STRANDD,1</t>
  </si>
  <si>
    <t xml:space="preserve">100109390</t>
  </si>
  <si>
    <t xml:space="preserve">LEAD_ELECT,SECNDRY,10 FT LG,CU,2 AWG SOL</t>
  </si>
  <si>
    <t xml:space="preserve">100027618</t>
  </si>
  <si>
    <t xml:space="preserve">CABLE_BARE,3/0 AWG,6 X 1 STRANDD,7670 FT</t>
  </si>
  <si>
    <t xml:space="preserve">100027540</t>
  </si>
  <si>
    <t xml:space="preserve">CABLE_INSUL,XLPE,4/0 AWG,CU,19 STRANDD</t>
  </si>
  <si>
    <t xml:space="preserve">100336386</t>
  </si>
  <si>
    <t xml:space="preserve">100074003</t>
  </si>
  <si>
    <t xml:space="preserve">POLE_WOOD, PINE, 65FT, CL 2</t>
  </si>
  <si>
    <t xml:space="preserve">100317530</t>
  </si>
  <si>
    <t xml:space="preserve">EXTENSION_POLE_TOP,60 IN LG,FBRGLAS</t>
  </si>
  <si>
    <t xml:space="preserve">100031258</t>
  </si>
  <si>
    <t xml:space="preserve">PLATE_ADAPTER,MOUNTNG</t>
  </si>
  <si>
    <t xml:space="preserve">100093755</t>
  </si>
  <si>
    <t xml:space="preserve">CABLE_INSUL,POWR,60 MIL XLPE,1/0 AWG,6 X</t>
  </si>
  <si>
    <t xml:space="preserve">100004957</t>
  </si>
  <si>
    <t xml:space="preserve">BASE_MNTNG,SIGN,10 IN WD,WOOD,8 IN LG</t>
  </si>
  <si>
    <t xml:space="preserve">100049677</t>
  </si>
  <si>
    <t xml:space="preserve">PADLOCK_ASSY,1-1/2 IN CASE</t>
  </si>
  <si>
    <t xml:space="preserve">100316436</t>
  </si>
  <si>
    <t xml:space="preserve">BRACKET_SUPPORT,CONDUIT STNDOFF,9 IN X 2</t>
  </si>
  <si>
    <t xml:space="preserve">100342373</t>
  </si>
  <si>
    <t xml:space="preserve">POLE_WOOD,PINE,45 FT LG,CLASS 2</t>
  </si>
  <si>
    <t xml:space="preserve">100010379</t>
  </si>
  <si>
    <t xml:space="preserve">LEAD_ELECT,SECNDRY,10 FT LG,CU,1/0 AWG</t>
  </si>
  <si>
    <t xml:space="preserve">100058551</t>
  </si>
  <si>
    <t xml:space="preserve">100332479</t>
  </si>
  <si>
    <t xml:space="preserve">SENSOR_ACCESSORY,NEUTRAL</t>
  </si>
  <si>
    <t xml:space="preserve">100038906</t>
  </si>
  <si>
    <t xml:space="preserve">GUY_ASSY,5/16 IN DIA,165 FT LG,EHS STL S</t>
  </si>
  <si>
    <t xml:space="preserve">100065871</t>
  </si>
  <si>
    <t xml:space="preserve">CABLE_INSUL,60 MIL PE,1/0 AWG,HARD DRAWN</t>
  </si>
  <si>
    <t xml:space="preserve">100106252</t>
  </si>
  <si>
    <t xml:space="preserve">BRACE_SUPPORT,SIDWLK GUY,ZINC COATED STL</t>
  </si>
  <si>
    <t xml:space="preserve">100318537</t>
  </si>
  <si>
    <t xml:space="preserve">CONDUIT_RIGID,PVC,4 IN DIA,10 FT LG</t>
  </si>
  <si>
    <t xml:space="preserve">100064127</t>
  </si>
  <si>
    <t xml:space="preserve">LEAD_ELECT,SECNDRY,12 FT LG,ALUM, HARD D</t>
  </si>
  <si>
    <t xml:space="preserve">100078799</t>
  </si>
  <si>
    <t xml:space="preserve">100303361</t>
  </si>
  <si>
    <t xml:space="preserve">100110238</t>
  </si>
  <si>
    <t xml:space="preserve">PIN_INSULATOR,LAG SCRW,5/8 IN,GALV STL,8</t>
  </si>
  <si>
    <t xml:space="preserve">100044155</t>
  </si>
  <si>
    <t xml:space="preserve">TUBE_ELECT,FUSE,4-1/2 IN OD,23 IN LG,PVC</t>
  </si>
  <si>
    <t xml:space="preserve">100098979</t>
  </si>
  <si>
    <t xml:space="preserve">WASHER_LOCKING,REGULAR,7/8 IN OD,1/8 IN</t>
  </si>
  <si>
    <t xml:space="preserve">100086522</t>
  </si>
  <si>
    <t xml:space="preserve">FITTING_SIDWLK,DUCTILE IRON</t>
  </si>
  <si>
    <t xml:space="preserve">100032501</t>
  </si>
  <si>
    <t xml:space="preserve">CABLE_INSUL,TRIPLEX,60 MIL HMPE,1/0 AWG,</t>
  </si>
  <si>
    <t xml:space="preserve">100056177</t>
  </si>
  <si>
    <t xml:space="preserve">CABLE_BARE,6 AWG,CU,SOLID,10000 FT LG,AS</t>
  </si>
  <si>
    <t xml:space="preserve">100024784</t>
  </si>
  <si>
    <t xml:space="preserve">MOUNT_TRNSCST,GALV STL,3 TRANSFRMRS,5/8</t>
  </si>
  <si>
    <t xml:space="preserve">100035087</t>
  </si>
  <si>
    <t xml:space="preserve">LINK_CHAIN,1 IN X 3-1/4 IN,GALV STL,5/8</t>
  </si>
  <si>
    <t xml:space="preserve">100017509</t>
  </si>
  <si>
    <t xml:space="preserve">LEAD_ELECT,SECNDRY,12 FT LG,CU,4/0 AWG</t>
  </si>
  <si>
    <t xml:space="preserve">100073793</t>
  </si>
  <si>
    <t xml:space="preserve">GUARD_PROTCT,U CABLE,2-1/4 IN WD,PLSTC,6</t>
  </si>
  <si>
    <t xml:space="preserve">100335234</t>
  </si>
  <si>
    <t xml:space="preserve">STIRRUP_HYDRANT,DISC,4-5/8 X 4-5/8 X 2-5</t>
  </si>
  <si>
    <t xml:space="preserve">100316438</t>
  </si>
  <si>
    <t xml:space="preserve">STRAP_CONDUIT,KIT,4 IN</t>
  </si>
  <si>
    <t xml:space="preserve">100013784</t>
  </si>
  <si>
    <t xml:space="preserve">INSULATOR_STRAIN,GUY,30 IN LG,FBRGLAS 24</t>
  </si>
  <si>
    <t xml:space="preserve">100038866</t>
  </si>
  <si>
    <t xml:space="preserve">RACK_INSULATOR,SECNDRY,PORCLN SPOOLS,ANS</t>
  </si>
  <si>
    <t xml:space="preserve">100089247</t>
  </si>
  <si>
    <t xml:space="preserve">BOLT_MACHINE,5/8 IN DIA,11 TPI,34 IN LG,</t>
  </si>
  <si>
    <t xml:space="preserve">100005379</t>
  </si>
  <si>
    <t xml:space="preserve">SIGN_WARNING,PLSTC,BLK/WHITE,SCRWED</t>
  </si>
  <si>
    <t xml:space="preserve">100064203</t>
  </si>
  <si>
    <t xml:space="preserve">NUT_SQUARE,3/4 IN,HOT GALV STL,10 TPI</t>
  </si>
  <si>
    <t xml:space="preserve">100069647</t>
  </si>
  <si>
    <t xml:space="preserve">WIRE_TIE,NO. 8,CU,45 IN LG</t>
  </si>
  <si>
    <t xml:space="preserve">100010817</t>
  </si>
  <si>
    <t xml:space="preserve">CONNECTOR_OVERHEAD,FIRED ON,NO. 2-556.5</t>
  </si>
  <si>
    <t xml:space="preserve">100057912</t>
  </si>
  <si>
    <t xml:space="preserve">BOLT_MACHINE,3/4 IN DIA,10 TPI,14 IN LG,</t>
  </si>
  <si>
    <t xml:space="preserve">100055729</t>
  </si>
  <si>
    <t xml:space="preserve">CONNECTOR_CABLE,BARTAP,TINNED BRNZ,NO.6-</t>
  </si>
  <si>
    <t xml:space="preserve">100116153</t>
  </si>
  <si>
    <t xml:space="preserve">CONNECTOR_CABLE,WDGE,ALUM,ACSR/ALUM,NO.1</t>
  </si>
  <si>
    <t xml:space="preserve">100046669</t>
  </si>
  <si>
    <t xml:space="preserve">BOLT_MACHINE,5/8 IN DIA,11 TPI,4 IN LG,G</t>
  </si>
  <si>
    <t xml:space="preserve">100098069</t>
  </si>
  <si>
    <t xml:space="preserve">CONNECTOR_CABLE,WDGE,ALUM,ACSR/ALUM/CU,N</t>
  </si>
  <si>
    <t xml:space="preserve">100310066</t>
  </si>
  <si>
    <t xml:space="preserve">STRAP_GROUND,C-CLAMP,1.08 X 0.50 IN,STL,</t>
  </si>
  <si>
    <t xml:space="preserve">100001517</t>
  </si>
  <si>
    <t xml:space="preserve">LINK_FUSE,UNV,10 AMP</t>
  </si>
  <si>
    <t xml:space="preserve">100308950</t>
  </si>
  <si>
    <t xml:space="preserve">CONNECTOR_CABLE,GRND,NO. 6 SOLID TO 1/0</t>
  </si>
  <si>
    <t xml:space="preserve">100352548</t>
  </si>
  <si>
    <t xml:space="preserve">CAP_END,BUMP,1.24 IN X 1.165 IN,PLSTC/RU</t>
  </si>
  <si>
    <t xml:space="preserve">100097571</t>
  </si>
  <si>
    <t xml:space="preserve">INSULATOR_STRAIN,DEADEND,3 IN SPOOL,PORC.</t>
  </si>
  <si>
    <t xml:space="preserve">100076569</t>
  </si>
  <si>
    <t xml:space="preserve">BOLT_MACHINE,3/4 IN DIA,10 TPI,12 IN LG,</t>
  </si>
  <si>
    <t xml:space="preserve">100037863</t>
  </si>
  <si>
    <t xml:space="preserve">BOLT_MACHINE,5/8 IN DIA,11 TPI,30 IN LG,</t>
  </si>
  <si>
    <t xml:space="preserve">100072154</t>
  </si>
  <si>
    <t xml:space="preserve">SCREW_LAG, 1/4 IN DIA,2 IN LG,GALV STL,HE</t>
  </si>
  <si>
    <t xml:space="preserve">100039661</t>
  </si>
  <si>
    <t xml:space="preserve">BOLT_MACHINE,5/8 IN DIA,11 TPI,2 IN LG,G</t>
  </si>
  <si>
    <t xml:space="preserve">100040596</t>
  </si>
  <si>
    <t xml:space="preserve">CONNECTOR_CABLE,TAP,BRNZ,CU,4/0 AWG,2-HO</t>
  </si>
  <si>
    <t xml:space="preserve">100326132</t>
  </si>
  <si>
    <t xml:space="preserve">COVER_PROTCT,ANIMAL CONDUCTOR COVER,SILC</t>
  </si>
  <si>
    <t xml:space="preserve">100084565</t>
  </si>
  <si>
    <t xml:space="preserve">CONNECTOR_CABLE,WDGE,ALUM,ACSR/ALUM/CU,1</t>
  </si>
  <si>
    <t xml:space="preserve">100113829</t>
  </si>
  <si>
    <t xml:space="preserve">BOLT_EYE,5/8 IN DIA,11 TPI,10 IN LG,GALV</t>
  </si>
  <si>
    <t xml:space="preserve">100048129</t>
  </si>
  <si>
    <t xml:space="preserve">WASHER_LOCKING,DBL COIL,3/4 IN,GALV STL</t>
  </si>
  <si>
    <t xml:space="preserve">100042925</t>
  </si>
  <si>
    <t xml:space="preserve">FUSE_CURRNT_LIMIT,FAULT TAMER,15KV,10T A</t>
  </si>
  <si>
    <t xml:space="preserve">100071576</t>
  </si>
  <si>
    <t xml:space="preserve">CONNECTOR_CABLE,WDGE,ALUM,ACSR/ALUM,2 AC</t>
  </si>
  <si>
    <t xml:space="preserve">100088375</t>
  </si>
  <si>
    <t xml:space="preserve">RACK_INSULATOR,SUSPN,8 IN WIRE SPACING</t>
  </si>
  <si>
    <t xml:space="preserve">100039664</t>
  </si>
  <si>
    <t xml:space="preserve">WASHER_FLAT,3/4 IN ID,2 IN OD,WROUGHT ST</t>
  </si>
  <si>
    <t xml:space="preserve">100073619</t>
  </si>
  <si>
    <t xml:space="preserve">BOLT_EYE,5/8 IN DIA,11 TPI,14 INLG,GALV</t>
  </si>
  <si>
    <t xml:space="preserve">100108945</t>
  </si>
  <si>
    <t xml:space="preserve">INSULATOR_STRAIN,GUY,LARGE,PORCLN,SKY,5/</t>
  </si>
  <si>
    <t xml:space="preserve">100301538</t>
  </si>
  <si>
    <t xml:space="preserve">CABLE_INSUL,TRIPLEX,XLPE,4/0 AWG,ALUM,19</t>
  </si>
  <si>
    <t xml:space="preserve">100094846</t>
  </si>
  <si>
    <t xml:space="preserve">SCREW_LAG,3/8 IN DIA,4 IN LG,HOT DIP GAL</t>
  </si>
  <si>
    <t xml:space="preserve">100101973</t>
  </si>
  <si>
    <t xml:space="preserve">SIGN_WARNING,WHITE/YELW,480 VOLT,SCRWED</t>
  </si>
  <si>
    <t xml:space="preserve">100302469</t>
  </si>
  <si>
    <t xml:space="preserve">ENCLOSURE_ELECT,JUNCTION BOX,8 IN WD,8 I</t>
  </si>
  <si>
    <t xml:space="preserve">100095014</t>
  </si>
  <si>
    <t xml:space="preserve">TAG_IDNT,PP,2-1/2 IN WD,3-1/2 IN LG,BLK/</t>
  </si>
  <si>
    <t xml:space="preserve">100058033</t>
  </si>
  <si>
    <t xml:space="preserve">100050811</t>
  </si>
  <si>
    <t xml:space="preserve">100084202</t>
  </si>
  <si>
    <t xml:space="preserve">BOLT_MACHINE,3/8 IN DIA,16 TPI,10 IN LG,</t>
  </si>
  <si>
    <t xml:space="preserve">100302470</t>
  </si>
  <si>
    <t xml:space="preserve">100057791</t>
  </si>
  <si>
    <t xml:space="preserve">100030339</t>
  </si>
  <si>
    <t xml:space="preserve">CABLE_INSUL,XLPE,1/0 AWG,ALUM,7 STRANDD</t>
  </si>
  <si>
    <t xml:space="preserve">PLS PURCHASE ORDER FINANCIAL SUMMARY — AS OF 7/28/2026</t>
  </si>
  <si>
    <t xml:space="preserve">Source: PLS Purchase Order Report 7/28/2026 (PO-header level — dollars only, no line items/IMs). Blue = source data. CUE Est $ from CWO reconciliation workbooks.</t>
  </si>
  <si>
    <t xml:space="preserve">CWO / Project</t>
  </si>
  <si>
    <t xml:space="preserve"># POs</t>
  </si>
  <si>
    <t xml:space="preserve">Original PO $</t>
  </si>
  <si>
    <t xml:space="preserve">PO Changes $</t>
  </si>
  <si>
    <t xml:space="preserve">Current PO $</t>
  </si>
  <si>
    <t xml:space="preserve">Invoiced $</t>
  </si>
  <si>
    <t xml:space="preserve">Outstanding $</t>
  </si>
  <si>
    <t xml:space="preserve">CUE Material Est $</t>
  </si>
  <si>
    <t xml:space="preserve">Current PO − CUE $</t>
  </si>
  <si>
    <t xml:space="preserve">25000209</t>
  </si>
  <si>
    <t xml:space="preserve">Project-level POs; incl. the -$72,274 reduction (verify vs the 8 planned UG PO cancellations)</t>
  </si>
  <si>
    <t xml:space="preserve">73232522</t>
  </si>
  <si>
    <t xml:space="preserve">73234686</t>
  </si>
  <si>
    <t xml:space="preserve">73239897</t>
  </si>
  <si>
    <t xml:space="preserve">73239916</t>
  </si>
  <si>
    <t xml:space="preserve">73239926</t>
  </si>
  <si>
    <t xml:space="preserve">73240913</t>
  </si>
  <si>
    <t xml:space="preserve">73242557</t>
  </si>
  <si>
    <t xml:space="preserve">73242619</t>
  </si>
  <si>
    <t xml:space="preserve">73244139</t>
  </si>
  <si>
    <t xml:space="preserve">73279347</t>
  </si>
  <si>
    <t xml:space="preserve">73301547</t>
  </si>
  <si>
    <t xml:space="preserve">73301585</t>
  </si>
  <si>
    <t xml:space="preserve">73305080</t>
  </si>
  <si>
    <t xml:space="preserve">73346088</t>
  </si>
  <si>
    <t xml:space="preserve">PO exists but CWO not in the 15 reconciliation workbooks — coverage gap</t>
  </si>
  <si>
    <t xml:space="preserve">73358165</t>
  </si>
  <si>
    <t xml:space="preserve">73802595</t>
  </si>
  <si>
    <t xml:space="preserve">TOTAL</t>
  </si>
  <si>
    <t xml:space="preserve">READ THIS BEFORE INTERPRETING THE GAP:</t>
  </si>
  <si>
    <t xml:space="preserve">The "Current PO − CUE" gap does NOT automatically mean under-procurement. Likely explanations, in order:</t>
  </si>
  <si>
    <t xml:space="preserve">1. DTE-supplied job stock — the CUE summaries are storeroom JSTK (job stock); a portion of material may be DTE-furnished, never a PLS PO.</t>
  </si>
  <si>
    <t xml:space="preserve">2. Not-yet-ordered material (see Not Yet Ordered tab, ~$322k est.) — including the 81 cedar poles, which may also come from a non-PLS pole supplier.</t>
  </si>
  <si>
    <t xml:space="preserve">3. Suppliers other than PLS for select items.</t>
  </si>
  <si>
    <t xml:space="preserve">4. CUE estimate-grade pricing vs actual PO pricing.</t>
  </si>
  <si>
    <t xml:space="preserve">WHAT THIS REPORT CLOSES: committed material dollars per CWO ($953k current, $687k invoiced, $267k outstanding) — the committed-cost input for the GP analysis.</t>
  </si>
  <si>
    <t xml:space="preserve">WHAT IT DOES NOT CLOSE: per-IM quantity verification. This report is PO-header level. Still needed from PLS: LINE-ITEM detail (IM, qty ordered, qty delivered, PO no.).</t>
  </si>
  <si>
    <t xml:space="preserve">CANCELLATION WATCH: only ONE reduction (-$72,274 on 25000209/M-00001) appears as of 7/28. If 8 underground POs are to be cancelled, the remaining reductions have not</t>
  </si>
  <si>
    <t xml:space="preserve">hit this report yet — outstanding commitment is overstated until they do. Track future report versions against this baseline.</t>
  </si>
  <si>
    <t xml:space="preserve">COVERAGE GAP: CWO 73346088 has a PLS PO ($51,878) but no reconciliation workbook — add it to the set.</t>
  </si>
  <si>
    <t xml:space="preserve">Order</t>
  </si>
  <si>
    <t xml:space="preserve">Line</t>
  </si>
  <si>
    <t xml:space="preserve">PO</t>
  </si>
  <si>
    <t xml:space="preserve">CWO</t>
  </si>
  <si>
    <t xml:space="preserve">DTE IM (CPN)</t>
  </si>
  <si>
    <t xml:space="preserve">Qty Ordered</t>
  </si>
  <si>
    <t xml:space="preserve">Qty Allocated</t>
  </si>
  <si>
    <t xml:space="preserve">Qty Invoiced</t>
  </si>
  <si>
    <t xml:space="preserve">Open Qty</t>
  </si>
  <si>
    <t xml:space="preserve">Status</t>
  </si>
  <si>
    <t xml:space="preserve">Expected Date</t>
  </si>
  <si>
    <t xml:space="preserve">Notes</t>
  </si>
  <si>
    <t xml:space="preserve">12914023</t>
  </si>
  <si>
    <t xml:space="preserve">029</t>
  </si>
  <si>
    <t xml:space="preserve">25000209/M-00002</t>
  </si>
  <si>
    <t xml:space="preserve">Anchor Helix 10in 6000lb 5/8in Rod</t>
  </si>
  <si>
    <t xml:space="preserve">Allocated</t>
  </si>
  <si>
    <t xml:space="preserve">051</t>
  </si>
  <si>
    <t xml:space="preserve">Base Gain Galv With 9in Offset</t>
  </si>
  <si>
    <t xml:space="preserve">052</t>
  </si>
  <si>
    <t xml:space="preserve">Bracket Angle Pin 1in Nylon Thread Pin</t>
  </si>
  <si>
    <t xml:space="preserve">010</t>
  </si>
  <si>
    <t xml:space="preserve">Bracket Standoff 15 Deg 1ph 24in</t>
  </si>
  <si>
    <t xml:space="preserve">Not Past Due</t>
  </si>
  <si>
    <t xml:space="preserve">Req'd Expedite</t>
  </si>
  <si>
    <t xml:space="preserve">014</t>
  </si>
  <si>
    <t xml:space="preserve">Bracket Standoff FG 1.5inX48in w/HD</t>
  </si>
  <si>
    <t xml:space="preserve">012</t>
  </si>
  <si>
    <t xml:space="preserve">Bracket Standoff FG 24in W.Hdwr</t>
  </si>
  <si>
    <t xml:space="preserve">017</t>
  </si>
  <si>
    <t xml:space="preserve">Connector Wedge Al 477-636kcmil</t>
  </si>
  <si>
    <t xml:space="preserve">016</t>
  </si>
  <si>
    <t xml:space="preserve">054</t>
  </si>
  <si>
    <t xml:space="preserve">Crossarm 3-5/8 x 4-5/8 x 96in FG</t>
  </si>
  <si>
    <t xml:space="preserve">025</t>
  </si>
  <si>
    <t xml:space="preserve">Crossarm FG 3-5/8 x 4-5/8 x 96in</t>
  </si>
  <si>
    <t xml:space="preserve">036</t>
  </si>
  <si>
    <t xml:space="preserve">Insulator Guy Strain 16k 18in Clev/Clev</t>
  </si>
  <si>
    <t xml:space="preserve">037</t>
  </si>
  <si>
    <t xml:space="preserve">Insulator Guy Strain 16k 18in Clev/Eye</t>
  </si>
  <si>
    <t xml:space="preserve">12914067</t>
  </si>
  <si>
    <t xml:space="preserve">050</t>
  </si>
  <si>
    <t xml:space="preserve">Attachment Guy Pole eye plate</t>
  </si>
  <si>
    <t xml:space="preserve">065</t>
  </si>
  <si>
    <t xml:space="preserve">067</t>
  </si>
  <si>
    <t xml:space="preserve">Bracket Neutral Wire Malleable Iron Galv</t>
  </si>
  <si>
    <t xml:space="preserve">021</t>
  </si>
  <si>
    <t xml:space="preserve">Connector Wedge Al/Cu #2-4/0</t>
  </si>
  <si>
    <t xml:space="preserve">073</t>
  </si>
  <si>
    <t xml:space="preserve">Crossarm DE FG 3 5/8inx4 5/8inx120in</t>
  </si>
  <si>
    <t xml:space="preserve">074</t>
  </si>
  <si>
    <t xml:space="preserve">Crossarm FG 3-5/8inX4-5/8inX120in Tangnt</t>
  </si>
  <si>
    <t xml:space="preserve">069</t>
  </si>
  <si>
    <t xml:space="preserve">Cutout Polymer L Open 15.5kV 110kV BIL</t>
  </si>
  <si>
    <t xml:space="preserve">070</t>
  </si>
  <si>
    <t xml:space="preserve">Grip Guy DE 7/16in-7#7 36in</t>
  </si>
  <si>
    <t xml:space="preserve">064</t>
  </si>
  <si>
    <t xml:space="preserve">Insulator Riser Support 28kV sil rubber</t>
  </si>
  <si>
    <t xml:space="preserve">034a</t>
  </si>
  <si>
    <t xml:space="preserve">12655</t>
  </si>
  <si>
    <t xml:space="preserve">Rod Anchor Extension 1-1/2in x 3-1/2ft</t>
  </si>
  <si>
    <t xml:space="preserve">08/24/2026</t>
  </si>
  <si>
    <t xml:space="preserve">022</t>
  </si>
  <si>
    <t xml:space="preserve">Rod Armor Al .491-.521 Sgl 56in 11/set</t>
  </si>
  <si>
    <t xml:space="preserve">Strap Grnd Steel Galv DE Spec 121 Rev</t>
  </si>
  <si>
    <t xml:space="preserve">035</t>
  </si>
  <si>
    <t xml:space="preserve">Switch disc 13.2kV 600a hookstick poly</t>
  </si>
  <si>
    <t xml:space="preserve">12914103</t>
  </si>
  <si>
    <t xml:space="preserve">008</t>
  </si>
  <si>
    <t xml:space="preserve">009</t>
  </si>
  <si>
    <t xml:space="preserve">053</t>
  </si>
  <si>
    <t xml:space="preserve">011</t>
  </si>
  <si>
    <t xml:space="preserve">100110298</t>
  </si>
  <si>
    <t xml:space="preserve">Indicator Fault Navigator 24Hr Reset</t>
  </si>
  <si>
    <t xml:space="preserve">12914135</t>
  </si>
  <si>
    <t xml:space="preserve">058</t>
  </si>
  <si>
    <t xml:space="preserve">060</t>
  </si>
  <si>
    <t xml:space="preserve">015</t>
  </si>
  <si>
    <t xml:space="preserve">Connector Wedge Al 1/0 to 3/0</t>
  </si>
  <si>
    <t xml:space="preserve">063</t>
  </si>
  <si>
    <t xml:space="preserve">027</t>
  </si>
  <si>
    <t xml:space="preserve">028</t>
  </si>
  <si>
    <t xml:space="preserve">061</t>
  </si>
  <si>
    <t xml:space="preserve">066</t>
  </si>
  <si>
    <t xml:space="preserve">Cutout SPL 15kV 200a VAR 084</t>
  </si>
  <si>
    <t xml:space="preserve">018</t>
  </si>
  <si>
    <t xml:space="preserve">Insulator Pin Crossarm HV 1in x 7in</t>
  </si>
  <si>
    <t xml:space="preserve">YCA282N</t>
  </si>
  <si>
    <t xml:space="preserve">Lug 4/0 Cu 2-Hole Nema</t>
  </si>
  <si>
    <t xml:space="preserve">019</t>
  </si>
  <si>
    <t xml:space="preserve">Molding Wood 1in x 8ft With 1/2in</t>
  </si>
  <si>
    <t xml:space="preserve">025a</t>
  </si>
  <si>
    <t xml:space="preserve">026</t>
  </si>
  <si>
    <t xml:space="preserve">12914144</t>
  </si>
  <si>
    <t xml:space="preserve">001</t>
  </si>
  <si>
    <t xml:space="preserve">ORCHID</t>
  </si>
  <si>
    <t xml:space="preserve">Wire Orchid 636-37 AAC OH</t>
  </si>
  <si>
    <t xml:space="preserve">10/13/2026</t>
  </si>
  <si>
    <t xml:space="preserve">12914157</t>
  </si>
  <si>
    <t xml:space="preserve">057</t>
  </si>
  <si>
    <t xml:space="preserve">062</t>
  </si>
  <si>
    <t xml:space="preserve">100089217</t>
  </si>
  <si>
    <t xml:space="preserve">Crossarm FG 3-5/8inX4-5/8inX48in Tangent</t>
  </si>
  <si>
    <t xml:space="preserve">059</t>
  </si>
  <si>
    <t xml:space="preserve">056</t>
  </si>
  <si>
    <t xml:space="preserve">020</t>
  </si>
  <si>
    <t xml:space="preserve">12914188</t>
  </si>
  <si>
    <t xml:space="preserve">Cable Connector 50ft GEN2 3 to 1 8 PIN</t>
  </si>
  <si>
    <t xml:space="preserve">Connector PG Al #8-2/0ACSR 3/8in</t>
  </si>
  <si>
    <t xml:space="preserve">Connector Wedge Al/Cu #6-3/0</t>
  </si>
  <si>
    <t xml:space="preserve">068</t>
  </si>
  <si>
    <t xml:space="preserve">026a</t>
  </si>
  <si>
    <t xml:space="preserve">12914202</t>
  </si>
  <si>
    <t xml:space="preserve">Bracket Standoff 3Ph 48in 24in 7H</t>
  </si>
  <si>
    <t xml:space="preserve">030</t>
  </si>
  <si>
    <t xml:space="preserve">028a</t>
  </si>
  <si>
    <t xml:space="preserve">Stirrup Wejtap Alum 477 To 636 1/0 Bail</t>
  </si>
  <si>
    <t xml:space="preserve">12914220</t>
  </si>
  <si>
    <t xml:space="preserve">044</t>
  </si>
  <si>
    <t xml:space="preserve">013</t>
  </si>
  <si>
    <t xml:space="preserve">047</t>
  </si>
  <si>
    <t xml:space="preserve">024</t>
  </si>
  <si>
    <t xml:space="preserve">048</t>
  </si>
  <si>
    <t xml:space="preserve">043</t>
  </si>
  <si>
    <t xml:space="preserve">023a</t>
  </si>
  <si>
    <t xml:space="preserve">12914239</t>
  </si>
  <si>
    <t xml:space="preserve">059a</t>
  </si>
  <si>
    <t xml:space="preserve">Clamp DE Bltd Fe Straight NoFit .16-.40</t>
  </si>
  <si>
    <t xml:space="preserve">031</t>
  </si>
  <si>
    <t xml:space="preserve">023</t>
  </si>
  <si>
    <t xml:space="preserve">029a</t>
  </si>
  <si>
    <t xml:space="preserve">12914260</t>
  </si>
  <si>
    <t xml:space="preserve">014a</t>
  </si>
  <si>
    <t xml:space="preserve">12914333</t>
  </si>
  <si>
    <t xml:space="preserve">045</t>
  </si>
  <si>
    <t xml:space="preserve">049</t>
  </si>
  <si>
    <t xml:space="preserve">Pin Ridge Horizontal 18in FG 1ph</t>
  </si>
  <si>
    <t xml:space="preserve">12914340</t>
  </si>
  <si>
    <t xml:space="preserve">046</t>
  </si>
  <si>
    <t xml:space="preserve">12914350</t>
  </si>
  <si>
    <t xml:space="preserve">039</t>
  </si>
  <si>
    <t xml:space="preserve">12914355</t>
  </si>
  <si>
    <t xml:space="preserve">002</t>
  </si>
  <si>
    <t xml:space="preserve">100000122</t>
  </si>
  <si>
    <t xml:space="preserve">Elbow LB 15kV Insert</t>
  </si>
  <si>
    <t xml:space="preserve">07/28/2026</t>
  </si>
  <si>
    <t xml:space="preserve">12914359</t>
  </si>
  <si>
    <t xml:space="preserve">005</t>
  </si>
  <si>
    <t xml:space="preserve">006</t>
  </si>
  <si>
    <t xml:space="preserve">Washer Square 3inx3inx3/16in 3/4in Bolt</t>
  </si>
  <si>
    <t xml:space="preserve">12914361</t>
  </si>
  <si>
    <t xml:space="preserve">GS36018CC1</t>
  </si>
  <si>
    <t xml:space="preserve">Insulator Guy Strain 18in 36K</t>
  </si>
  <si>
    <t xml:space="preserve">Insulator Susp SL 25k Y/B 52-5</t>
  </si>
  <si>
    <t xml:space="preserve">12914382</t>
  </si>
  <si>
    <t xml:space="preserve">003</t>
  </si>
  <si>
    <t xml:space="preserve">EA1R12076C7JP01</t>
  </si>
  <si>
    <t xml:space="preserve">Transformer Pole Mnt 100kVA 4800/8320Y</t>
  </si>
  <si>
    <t xml:space="preserve">On Hold</t>
  </si>
  <si>
    <t xml:space="preserve">Cancel?</t>
  </si>
  <si>
    <t xml:space="preserve">Transformer Pole Mnt 25kVA 4800/8320Y</t>
  </si>
  <si>
    <t xml:space="preserve">Transformer Pole Mnt 50kVA 4800/8320Y</t>
  </si>
  <si>
    <t xml:space="preserve">12914385</t>
  </si>
  <si>
    <t xml:space="preserve">300014317</t>
  </si>
  <si>
    <t xml:space="preserve">Regulator 7620V 219A 167KVA</t>
  </si>
  <si>
    <t xml:space="preserve">12914455</t>
  </si>
  <si>
    <t xml:space="preserve">006a</t>
  </si>
  <si>
    <t xml:space="preserve">#2 CU SOLID BARE</t>
  </si>
  <si>
    <t xml:space="preserve">Wire #2 Cu Sol Bare SD</t>
  </si>
  <si>
    <t xml:space="preserve">06/08/2026</t>
  </si>
  <si>
    <t xml:space="preserve">NERITINA RP 1200</t>
  </si>
  <si>
    <t xml:space="preserve">Wire Neritina 1/0-7 ACSR OH Poly 1200Ft</t>
  </si>
  <si>
    <t xml:space="preserve">004</t>
  </si>
  <si>
    <t xml:space="preserve">10160060</t>
  </si>
  <si>
    <t xml:space="preserve">Wire Raven 1/0-6/1 ACSR OH 6095Ft Rl</t>
  </si>
  <si>
    <t xml:space="preserve">06/11/2026</t>
  </si>
  <si>
    <t xml:space="preserve">12914593</t>
  </si>
  <si>
    <t xml:space="preserve">BREADFRUIT</t>
  </si>
  <si>
    <t xml:space="preserve">Wire 636kcmil AAC 61str Breadfruit</t>
  </si>
  <si>
    <t xml:space="preserve">2026-10-12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</si>
</sst>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\$#,##0"/>
    <numFmt numFmtId="167" formatCode="\$#,##0.00"/>
    <numFmt numFmtId="168" formatCode="\$#,##0"/>
    <numFmt numFmtId="169" formatCode="\$#,##0;&quot;($&quot;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31F20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D0171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D0171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color rgb="FF231F20"/>
      <name val="Arial"/>
      <family val="0"/>
      <charset val="1"/>
    </font>
    <font>
      <b val="true"/>
      <sz val="12"/>
      <color rgb="FF231F20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93939"/>
        <bgColor rgb="FF231F2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171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A8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4493D4"/>
      <rgbColor rgb="FF003300"/>
      <rgbColor rgb="FF231F20"/>
      <rgbColor rgb="FF993300"/>
      <rgbColor rgb="FF993366"/>
      <rgbColor rgb="FF333399"/>
      <rgbColor rgb="FF3939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 t="s">
        <v>5</v>
      </c>
    </row>
    <row r="8" customFormat="false" ht="15" hidden="false" customHeight="true" outlineLevel="0" collapsed="false">
      <c r="A8" s="4"/>
    </row>
    <row r="9" customFormat="false" ht="15" hidden="false" customHeight="true" outlineLevel="0" collapsed="false">
      <c r="A9" s="5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4"/>
    </row>
    <row r="15" customFormat="false" ht="15" hidden="false" customHeight="true" outlineLevel="0" collapsed="false">
      <c r="A15" s="5" t="s">
        <v>11</v>
      </c>
    </row>
    <row r="16" customFormat="false" ht="15" hidden="false" customHeight="true" outlineLevel="0" collapsed="false">
      <c r="A16" s="4" t="s">
        <v>12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4" t="s">
        <v>14</v>
      </c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4" t="s">
        <v>17</v>
      </c>
    </row>
    <row r="22" customFormat="false" ht="15" hidden="false" customHeight="true" outlineLevel="0" collapsed="false">
      <c r="A22" s="4" t="s">
        <v>18</v>
      </c>
    </row>
    <row r="23" customFormat="false" ht="15" hidden="false" customHeight="true" outlineLevel="0" collapsed="false">
      <c r="A23" s="4" t="s">
        <v>19</v>
      </c>
    </row>
    <row r="24" customFormat="false" ht="15" hidden="false" customHeight="true" outlineLevel="0" collapsed="false">
      <c r="A24" s="4"/>
    </row>
    <row r="25" customFormat="false" ht="15" hidden="false" customHeight="true" outlineLevel="0" collapsed="false">
      <c r="A25" s="5" t="s">
        <v>20</v>
      </c>
    </row>
    <row r="26" customFormat="false" ht="15" hidden="false" customHeight="true" outlineLevel="0" collapsed="false">
      <c r="A26" s="4" t="s">
        <v>21</v>
      </c>
    </row>
    <row r="27" customFormat="false" ht="15" hidden="false" customHeight="true" outlineLevel="0" collapsed="false">
      <c r="A27" s="4" t="s">
        <v>22</v>
      </c>
    </row>
    <row r="28" customFormat="false" ht="15" hidden="false" customHeight="true" outlineLevel="0" collapsed="false">
      <c r="A28" s="4" t="s">
        <v>23</v>
      </c>
    </row>
    <row r="29" customFormat="false" ht="15" hidden="false" customHeight="true" outlineLevel="0" collapsed="false">
      <c r="A29" s="4"/>
    </row>
    <row r="30" customFormat="false" ht="15" hidden="false" customHeight="true" outlineLevel="0" collapsed="false">
      <c r="A30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0171F"/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34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7" t="s">
        <v>25</v>
      </c>
    </row>
    <row r="2" customFormat="false" ht="15" hidden="false" customHeight="false" outlineLevel="0" collapsed="false">
      <c r="A2" s="8" t="s">
        <v>26</v>
      </c>
    </row>
    <row r="4" customFormat="false" ht="15" hidden="false" customHeight="false" outlineLevel="0" collapsed="false">
      <c r="A4" s="9" t="s">
        <v>27</v>
      </c>
    </row>
    <row r="5" customFormat="false" ht="23.85" hidden="false" customHeight="false" outlineLevel="0" collapsed="false">
      <c r="A5" s="10" t="s">
        <v>28</v>
      </c>
      <c r="B5" s="10" t="s">
        <v>29</v>
      </c>
      <c r="C5" s="10" t="s">
        <v>30</v>
      </c>
      <c r="D5" s="10" t="s">
        <v>31</v>
      </c>
      <c r="E5" s="10" t="s">
        <v>32</v>
      </c>
      <c r="F5" s="10" t="s">
        <v>33</v>
      </c>
      <c r="G5" s="10" t="s">
        <v>34</v>
      </c>
      <c r="H5" s="10" t="s">
        <v>35</v>
      </c>
      <c r="I5" s="10" t="s">
        <v>36</v>
      </c>
    </row>
    <row r="6" customFormat="false" ht="15" hidden="false" customHeight="false" outlineLevel="0" collapsed="false">
      <c r="A6" s="11" t="s">
        <v>37</v>
      </c>
      <c r="B6" s="11" t="s">
        <v>38</v>
      </c>
      <c r="C6" s="11" t="n">
        <v>2</v>
      </c>
      <c r="D6" s="12" t="n">
        <v>48</v>
      </c>
      <c r="E6" s="13" t="n">
        <v>3799.15</v>
      </c>
      <c r="F6" s="14" t="n">
        <f aca="false">IF(E6="","",D6*E6)</f>
        <v>182359.2</v>
      </c>
      <c r="G6" s="15" t="s">
        <v>39</v>
      </c>
      <c r="H6" s="15" t="s">
        <v>40</v>
      </c>
      <c r="I6" s="16"/>
    </row>
    <row r="7" customFormat="false" ht="15" hidden="false" customHeight="false" outlineLevel="0" collapsed="false">
      <c r="A7" s="11" t="s">
        <v>41</v>
      </c>
      <c r="B7" s="11" t="s">
        <v>42</v>
      </c>
      <c r="C7" s="11" t="n">
        <v>169</v>
      </c>
      <c r="D7" s="12" t="n">
        <v>260</v>
      </c>
      <c r="E7" s="13" t="n">
        <v>138.81</v>
      </c>
      <c r="F7" s="14" t="n">
        <f aca="false">IF(E7="","",D7*E7)</f>
        <v>36090.6</v>
      </c>
      <c r="G7" s="15" t="s">
        <v>43</v>
      </c>
      <c r="H7" s="15" t="s">
        <v>44</v>
      </c>
      <c r="I7" s="16"/>
    </row>
    <row r="8" customFormat="false" ht="15" hidden="false" customHeight="false" outlineLevel="0" collapsed="false">
      <c r="A8" s="11" t="s">
        <v>45</v>
      </c>
      <c r="B8" s="11" t="s">
        <v>46</v>
      </c>
      <c r="C8" s="11" t="n">
        <v>129</v>
      </c>
      <c r="D8" s="12" t="n">
        <v>222</v>
      </c>
      <c r="E8" s="13" t="n">
        <v>134.26</v>
      </c>
      <c r="F8" s="14" t="n">
        <f aca="false">IF(E8="","",D8*E8)</f>
        <v>29805.72</v>
      </c>
      <c r="G8" s="15" t="s">
        <v>43</v>
      </c>
      <c r="H8" s="15" t="s">
        <v>47</v>
      </c>
      <c r="I8" s="16"/>
    </row>
    <row r="9" customFormat="false" ht="15" hidden="false" customHeight="false" outlineLevel="0" collapsed="false">
      <c r="A9" s="11" t="s">
        <v>48</v>
      </c>
      <c r="B9" s="11" t="s">
        <v>49</v>
      </c>
      <c r="C9" s="11" t="n">
        <v>18</v>
      </c>
      <c r="D9" s="12" t="n">
        <v>103</v>
      </c>
      <c r="E9" s="13" t="n">
        <v>285.68</v>
      </c>
      <c r="F9" s="14" t="n">
        <f aca="false">IF(E9="","",D9*E9)</f>
        <v>29425.04</v>
      </c>
      <c r="G9" s="15" t="s">
        <v>50</v>
      </c>
      <c r="H9" s="15" t="s">
        <v>51</v>
      </c>
      <c r="I9" s="16"/>
    </row>
    <row r="10" customFormat="false" ht="15" hidden="false" customHeight="false" outlineLevel="0" collapsed="false">
      <c r="A10" s="11" t="s">
        <v>52</v>
      </c>
      <c r="B10" s="11" t="s">
        <v>53</v>
      </c>
      <c r="C10" s="11" t="n">
        <v>268</v>
      </c>
      <c r="D10" s="12" t="n">
        <v>830</v>
      </c>
      <c r="E10" s="13" t="n">
        <v>35.03</v>
      </c>
      <c r="F10" s="14" t="n">
        <f aca="false">IF(E10="","",D10*E10)</f>
        <v>29074.9</v>
      </c>
      <c r="G10" s="15" t="s">
        <v>54</v>
      </c>
      <c r="H10" s="15" t="s">
        <v>55</v>
      </c>
      <c r="I10" s="16"/>
    </row>
    <row r="11" customFormat="false" ht="15" hidden="false" customHeight="false" outlineLevel="0" collapsed="false">
      <c r="A11" s="11" t="s">
        <v>56</v>
      </c>
      <c r="B11" s="11" t="s">
        <v>57</v>
      </c>
      <c r="C11" s="11" t="n">
        <v>16</v>
      </c>
      <c r="D11" s="12" t="n">
        <v>94</v>
      </c>
      <c r="E11" s="13" t="n">
        <v>229.42</v>
      </c>
      <c r="F11" s="14" t="n">
        <f aca="false">IF(E11="","",D11*E11)</f>
        <v>21565.48</v>
      </c>
      <c r="G11" s="15" t="s">
        <v>58</v>
      </c>
      <c r="H11" s="15" t="s">
        <v>59</v>
      </c>
      <c r="I11" s="16"/>
    </row>
    <row r="12" customFormat="false" ht="15" hidden="false" customHeight="false" outlineLevel="0" collapsed="false">
      <c r="A12" s="11" t="s">
        <v>60</v>
      </c>
      <c r="B12" s="11" t="s">
        <v>61</v>
      </c>
      <c r="C12" s="11" t="n">
        <v>8</v>
      </c>
      <c r="D12" s="12" t="n">
        <v>89</v>
      </c>
      <c r="E12" s="13" t="n">
        <v>213.39</v>
      </c>
      <c r="F12" s="14" t="n">
        <f aca="false">IF(E12="","",D12*E12)</f>
        <v>18991.71</v>
      </c>
      <c r="G12" s="15" t="s">
        <v>50</v>
      </c>
      <c r="H12" s="15" t="s">
        <v>62</v>
      </c>
      <c r="I12" s="16"/>
    </row>
    <row r="13" customFormat="false" ht="15" hidden="false" customHeight="false" outlineLevel="0" collapsed="false">
      <c r="A13" s="11" t="s">
        <v>63</v>
      </c>
      <c r="B13" s="11" t="s">
        <v>64</v>
      </c>
      <c r="C13" s="11" t="n">
        <v>6</v>
      </c>
      <c r="D13" s="12" t="n">
        <v>40</v>
      </c>
      <c r="E13" s="13" t="n">
        <v>240.72</v>
      </c>
      <c r="F13" s="14" t="n">
        <f aca="false">IF(E13="","",D13*E13)</f>
        <v>9628.8</v>
      </c>
      <c r="G13" s="15" t="s">
        <v>50</v>
      </c>
      <c r="H13" s="15" t="s">
        <v>65</v>
      </c>
      <c r="I13" s="16"/>
    </row>
    <row r="14" customFormat="false" ht="15" hidden="false" customHeight="false" outlineLevel="0" collapsed="false">
      <c r="A14" s="11" t="s">
        <v>66</v>
      </c>
      <c r="B14" s="11" t="s">
        <v>46</v>
      </c>
      <c r="C14" s="11" t="n">
        <v>18</v>
      </c>
      <c r="D14" s="12" t="n">
        <v>35</v>
      </c>
      <c r="E14" s="13" t="n">
        <v>215.27</v>
      </c>
      <c r="F14" s="14" t="n">
        <f aca="false">IF(E14="","",D14*E14)</f>
        <v>7534.45</v>
      </c>
      <c r="G14" s="15" t="s">
        <v>43</v>
      </c>
      <c r="H14" s="15" t="s">
        <v>67</v>
      </c>
      <c r="I14" s="16"/>
    </row>
    <row r="15" customFormat="false" ht="15" hidden="false" customHeight="false" outlineLevel="0" collapsed="false">
      <c r="A15" s="11" t="s">
        <v>68</v>
      </c>
      <c r="B15" s="11" t="s">
        <v>69</v>
      </c>
      <c r="C15" s="11" t="n">
        <v>1</v>
      </c>
      <c r="D15" s="12" t="n">
        <v>4</v>
      </c>
      <c r="E15" s="13" t="n">
        <v>1332.49</v>
      </c>
      <c r="F15" s="14" t="n">
        <f aca="false">IF(E15="","",D15*E15)</f>
        <v>5329.96</v>
      </c>
      <c r="G15" s="15" t="s">
        <v>39</v>
      </c>
      <c r="H15" s="15" t="s">
        <v>70</v>
      </c>
      <c r="I15" s="16"/>
    </row>
    <row r="16" customFormat="false" ht="15" hidden="false" customHeight="false" outlineLevel="0" collapsed="false">
      <c r="A16" s="11" t="s">
        <v>71</v>
      </c>
      <c r="B16" s="11" t="s">
        <v>72</v>
      </c>
      <c r="C16" s="11" t="n">
        <v>6</v>
      </c>
      <c r="D16" s="12" t="n">
        <v>132</v>
      </c>
      <c r="E16" s="13" t="n">
        <v>35.09</v>
      </c>
      <c r="F16" s="14" t="n">
        <f aca="false">IF(E16="","",D16*E16)</f>
        <v>4631.88</v>
      </c>
      <c r="G16" s="15" t="s">
        <v>39</v>
      </c>
      <c r="H16" s="15" t="s">
        <v>73</v>
      </c>
      <c r="I16" s="16"/>
    </row>
    <row r="17" customFormat="false" ht="15" hidden="false" customHeight="false" outlineLevel="0" collapsed="false">
      <c r="A17" s="11" t="s">
        <v>74</v>
      </c>
      <c r="B17" s="11" t="s">
        <v>46</v>
      </c>
      <c r="C17" s="11" t="n">
        <v>2</v>
      </c>
      <c r="D17" s="12" t="n">
        <v>34</v>
      </c>
      <c r="E17" s="13" t="n">
        <v>74.91</v>
      </c>
      <c r="F17" s="14" t="n">
        <f aca="false">IF(E17="","",D17*E17)</f>
        <v>2546.94</v>
      </c>
      <c r="G17" s="15" t="s">
        <v>43</v>
      </c>
      <c r="H17" s="15" t="s">
        <v>75</v>
      </c>
      <c r="I17" s="16"/>
    </row>
    <row r="18" customFormat="false" ht="15" hidden="false" customHeight="false" outlineLevel="0" collapsed="false">
      <c r="A18" s="11" t="s">
        <v>76</v>
      </c>
      <c r="B18" s="11" t="s">
        <v>77</v>
      </c>
      <c r="C18" s="11" t="n">
        <v>17</v>
      </c>
      <c r="D18" s="12" t="n">
        <v>65</v>
      </c>
      <c r="E18" s="13" t="n">
        <v>38.46</v>
      </c>
      <c r="F18" s="14" t="n">
        <f aca="false">IF(E18="","",D18*E18)</f>
        <v>2499.9</v>
      </c>
      <c r="G18" s="15" t="s">
        <v>78</v>
      </c>
      <c r="H18" s="15" t="s">
        <v>79</v>
      </c>
      <c r="I18" s="16"/>
    </row>
    <row r="19" customFormat="false" ht="15" hidden="false" customHeight="false" outlineLevel="0" collapsed="false">
      <c r="A19" s="11" t="s">
        <v>80</v>
      </c>
      <c r="B19" s="11" t="s">
        <v>81</v>
      </c>
      <c r="C19" s="11" t="n">
        <v>74</v>
      </c>
      <c r="D19" s="12" t="n">
        <v>200</v>
      </c>
      <c r="E19" s="13" t="n">
        <v>10.23</v>
      </c>
      <c r="F19" s="14" t="n">
        <f aca="false">IF(E19="","",D19*E19)</f>
        <v>2046</v>
      </c>
      <c r="G19" s="15" t="s">
        <v>82</v>
      </c>
      <c r="H19" s="15" t="s">
        <v>83</v>
      </c>
      <c r="I19" s="16"/>
    </row>
    <row r="20" customFormat="false" ht="15" hidden="false" customHeight="false" outlineLevel="0" collapsed="false">
      <c r="A20" s="11" t="s">
        <v>84</v>
      </c>
      <c r="B20" s="11" t="s">
        <v>85</v>
      </c>
      <c r="C20" s="11" t="n">
        <v>36</v>
      </c>
      <c r="D20" s="12" t="n">
        <v>120</v>
      </c>
      <c r="E20" s="13" t="n">
        <v>12.74</v>
      </c>
      <c r="F20" s="14" t="n">
        <f aca="false">IF(E20="","",D20*E20)</f>
        <v>1528.8</v>
      </c>
      <c r="G20" s="15" t="s">
        <v>86</v>
      </c>
      <c r="H20" s="15" t="s">
        <v>87</v>
      </c>
      <c r="I20" s="16"/>
    </row>
    <row r="21" customFormat="false" ht="15" hidden="false" customHeight="false" outlineLevel="0" collapsed="false">
      <c r="A21" s="11" t="s">
        <v>88</v>
      </c>
      <c r="B21" s="11" t="s">
        <v>89</v>
      </c>
      <c r="C21" s="11" t="n">
        <v>106</v>
      </c>
      <c r="D21" s="12" t="n">
        <v>450</v>
      </c>
      <c r="E21" s="13" t="n">
        <v>3.04</v>
      </c>
      <c r="F21" s="14" t="n">
        <f aca="false">IF(E21="","",D21*E21)</f>
        <v>1368</v>
      </c>
      <c r="G21" s="15" t="s">
        <v>90</v>
      </c>
      <c r="H21" s="15" t="s">
        <v>91</v>
      </c>
      <c r="I21" s="16"/>
    </row>
    <row r="22" customFormat="false" ht="15" hidden="false" customHeight="false" outlineLevel="0" collapsed="false">
      <c r="A22" s="11" t="s">
        <v>92</v>
      </c>
      <c r="B22" s="11" t="s">
        <v>93</v>
      </c>
      <c r="C22" s="11" t="n">
        <v>60</v>
      </c>
      <c r="D22" s="12" t="n">
        <v>100</v>
      </c>
      <c r="E22" s="13" t="n">
        <v>11.51</v>
      </c>
      <c r="F22" s="14" t="n">
        <f aca="false">IF(E22="","",D22*E22)</f>
        <v>1151</v>
      </c>
      <c r="G22" s="15" t="s">
        <v>82</v>
      </c>
      <c r="H22" s="15" t="s">
        <v>94</v>
      </c>
      <c r="I22" s="16"/>
    </row>
    <row r="23" customFormat="false" ht="15" hidden="false" customHeight="false" outlineLevel="0" collapsed="false">
      <c r="A23" s="11" t="s">
        <v>95</v>
      </c>
      <c r="B23" s="11" t="s">
        <v>96</v>
      </c>
      <c r="C23" s="11" t="n">
        <v>68</v>
      </c>
      <c r="D23" s="12" t="n">
        <v>120</v>
      </c>
      <c r="E23" s="13" t="n">
        <v>7.91</v>
      </c>
      <c r="F23" s="14" t="n">
        <f aca="false">IF(E23="","",D23*E23)</f>
        <v>949.2</v>
      </c>
      <c r="G23" s="15" t="s">
        <v>82</v>
      </c>
      <c r="H23" s="15" t="s">
        <v>97</v>
      </c>
      <c r="I23" s="16"/>
    </row>
    <row r="24" customFormat="false" ht="15" hidden="false" customHeight="false" outlineLevel="0" collapsed="false">
      <c r="A24" s="11" t="s">
        <v>98</v>
      </c>
      <c r="B24" s="11" t="s">
        <v>99</v>
      </c>
      <c r="C24" s="11" t="n">
        <v>87</v>
      </c>
      <c r="D24" s="12" t="n">
        <v>125</v>
      </c>
      <c r="E24" s="13" t="n">
        <v>6.49</v>
      </c>
      <c r="F24" s="14" t="n">
        <f aca="false">IF(E24="","",D24*E24)</f>
        <v>811.25</v>
      </c>
      <c r="G24" s="15" t="s">
        <v>100</v>
      </c>
      <c r="H24" s="15" t="s">
        <v>101</v>
      </c>
      <c r="I24" s="16"/>
    </row>
    <row r="25" customFormat="false" ht="15" hidden="false" customHeight="false" outlineLevel="0" collapsed="false">
      <c r="A25" s="11" t="s">
        <v>102</v>
      </c>
      <c r="B25" s="11" t="s">
        <v>103</v>
      </c>
      <c r="C25" s="11" t="n">
        <v>19</v>
      </c>
      <c r="D25" s="12" t="n">
        <v>60</v>
      </c>
      <c r="E25" s="13" t="n">
        <v>12.76</v>
      </c>
      <c r="F25" s="14" t="n">
        <f aca="false">IF(E25="","",D25*E25)</f>
        <v>765.6</v>
      </c>
      <c r="G25" s="15" t="s">
        <v>104</v>
      </c>
      <c r="H25" s="15" t="s">
        <v>105</v>
      </c>
      <c r="I25" s="16"/>
    </row>
    <row r="26" customFormat="false" ht="15" hidden="false" customHeight="false" outlineLevel="0" collapsed="false">
      <c r="A26" s="11" t="s">
        <v>106</v>
      </c>
      <c r="B26" s="11" t="s">
        <v>107</v>
      </c>
      <c r="C26" s="11" t="n">
        <v>1</v>
      </c>
      <c r="D26" s="12" t="n">
        <v>5</v>
      </c>
      <c r="E26" s="13" t="n">
        <v>109.31</v>
      </c>
      <c r="F26" s="14" t="n">
        <f aca="false">IF(E26="","",D26*E26)</f>
        <v>546.55</v>
      </c>
      <c r="G26" s="15" t="s">
        <v>108</v>
      </c>
      <c r="H26" s="15" t="s">
        <v>109</v>
      </c>
      <c r="I26" s="16"/>
    </row>
    <row r="27" customFormat="false" ht="15" hidden="false" customHeight="false" outlineLevel="0" collapsed="false">
      <c r="A27" s="11" t="s">
        <v>110</v>
      </c>
      <c r="B27" s="11" t="s">
        <v>111</v>
      </c>
      <c r="C27" s="11" t="n">
        <v>12</v>
      </c>
      <c r="D27" s="12" t="n">
        <v>23</v>
      </c>
      <c r="E27" s="13" t="n">
        <v>13.27</v>
      </c>
      <c r="F27" s="14" t="n">
        <f aca="false">IF(E27="","",D27*E27)</f>
        <v>305.21</v>
      </c>
      <c r="G27" s="15" t="s">
        <v>39</v>
      </c>
      <c r="H27" s="15" t="s">
        <v>112</v>
      </c>
      <c r="I27" s="16"/>
    </row>
    <row r="28" customFormat="false" ht="15" hidden="false" customHeight="false" outlineLevel="0" collapsed="false">
      <c r="A28" s="11" t="s">
        <v>113</v>
      </c>
      <c r="B28" s="11" t="s">
        <v>114</v>
      </c>
      <c r="C28" s="11" t="n">
        <v>16</v>
      </c>
      <c r="D28" s="12" t="n">
        <v>181</v>
      </c>
      <c r="E28" s="13" t="n">
        <v>1.64</v>
      </c>
      <c r="F28" s="14" t="n">
        <f aca="false">IF(E28="","",D28*E28)</f>
        <v>296.84</v>
      </c>
      <c r="G28" s="15" t="s">
        <v>100</v>
      </c>
      <c r="H28" s="15" t="s">
        <v>115</v>
      </c>
      <c r="I28" s="16"/>
    </row>
    <row r="29" customFormat="false" ht="15" hidden="false" customHeight="false" outlineLevel="0" collapsed="false">
      <c r="A29" s="11" t="s">
        <v>116</v>
      </c>
      <c r="B29" s="11" t="s">
        <v>117</v>
      </c>
      <c r="C29" s="11" t="n">
        <v>14</v>
      </c>
      <c r="D29" s="12" t="n">
        <v>5</v>
      </c>
      <c r="E29" s="13" t="n">
        <v>15.01</v>
      </c>
      <c r="F29" s="14" t="n">
        <f aca="false">IF(E29="","",D29*E29)</f>
        <v>75.05</v>
      </c>
      <c r="G29" s="15" t="s">
        <v>39</v>
      </c>
      <c r="H29" s="15" t="s">
        <v>118</v>
      </c>
      <c r="I29" s="16"/>
    </row>
    <row r="30" customFormat="false" ht="15" hidden="false" customHeight="false" outlineLevel="0" collapsed="false">
      <c r="A30" s="11" t="s">
        <v>119</v>
      </c>
      <c r="B30" s="11" t="s">
        <v>120</v>
      </c>
      <c r="C30" s="11" t="n">
        <v>46</v>
      </c>
      <c r="D30" s="12" t="n">
        <v>8</v>
      </c>
      <c r="E30" s="13" t="n">
        <v>0.75</v>
      </c>
      <c r="F30" s="14" t="n">
        <f aca="false">IF(E30="","",D30*E30)</f>
        <v>6</v>
      </c>
      <c r="G30" s="15" t="s">
        <v>39</v>
      </c>
      <c r="H30" s="15" t="s">
        <v>121</v>
      </c>
      <c r="I30" s="16"/>
    </row>
    <row r="31" customFormat="false" ht="15" hidden="false" customHeight="false" outlineLevel="0" collapsed="false">
      <c r="A31" s="11" t="s">
        <v>122</v>
      </c>
      <c r="B31" s="11" t="s">
        <v>123</v>
      </c>
      <c r="C31" s="11" t="n">
        <v>360</v>
      </c>
      <c r="D31" s="12" t="n">
        <v>325</v>
      </c>
      <c r="E31" s="13"/>
      <c r="F31" s="14" t="str">
        <f aca="false">IF(E31="","",D31*E31)</f>
        <v/>
      </c>
      <c r="G31" s="15" t="s">
        <v>124</v>
      </c>
      <c r="H31" s="15" t="s">
        <v>125</v>
      </c>
      <c r="I31" s="16"/>
    </row>
    <row r="32" customFormat="false" ht="15" hidden="false" customHeight="false" outlineLevel="0" collapsed="false">
      <c r="A32" s="11" t="s">
        <v>126</v>
      </c>
      <c r="B32" s="11" t="s">
        <v>127</v>
      </c>
      <c r="C32" s="11" t="n">
        <v>260</v>
      </c>
      <c r="D32" s="12" t="n">
        <v>150</v>
      </c>
      <c r="E32" s="13"/>
      <c r="F32" s="14" t="str">
        <f aca="false">IF(E32="","",D32*E32)</f>
        <v/>
      </c>
      <c r="G32" s="15" t="s">
        <v>128</v>
      </c>
      <c r="H32" s="15" t="s">
        <v>129</v>
      </c>
      <c r="I32" s="16"/>
    </row>
    <row r="33" customFormat="false" ht="15" hidden="false" customHeight="false" outlineLevel="0" collapsed="false">
      <c r="A33" s="11" t="s">
        <v>130</v>
      </c>
      <c r="B33" s="11" t="s">
        <v>131</v>
      </c>
      <c r="C33" s="11" t="n">
        <v>3</v>
      </c>
      <c r="D33" s="12" t="n">
        <v>3</v>
      </c>
      <c r="E33" s="13"/>
      <c r="F33" s="14" t="str">
        <f aca="false">IF(E33="","",D33*E33)</f>
        <v/>
      </c>
      <c r="G33" s="15" t="s">
        <v>132</v>
      </c>
      <c r="H33" s="15" t="s">
        <v>133</v>
      </c>
      <c r="I33" s="16"/>
    </row>
    <row r="34" customFormat="false" ht="15" hidden="false" customHeight="false" outlineLevel="0" collapsed="false">
      <c r="B34" s="17" t="s">
        <v>134</v>
      </c>
      <c r="F34" s="18" t="n">
        <f aca="false">SUM(F6:F33)</f>
        <v>389334.08</v>
      </c>
    </row>
    <row r="36" customFormat="false" ht="15" hidden="false" customHeight="false" outlineLevel="0" collapsed="false">
      <c r="A36" s="9" t="s">
        <v>135</v>
      </c>
    </row>
    <row r="37" customFormat="false" ht="15" hidden="false" customHeight="false" outlineLevel="0" collapsed="false">
      <c r="A37" s="19" t="s">
        <v>28</v>
      </c>
      <c r="B37" s="19" t="s">
        <v>29</v>
      </c>
      <c r="C37" s="19" t="s">
        <v>136</v>
      </c>
      <c r="D37" s="19" t="s">
        <v>31</v>
      </c>
      <c r="E37" s="19" t="s">
        <v>137</v>
      </c>
      <c r="F37" s="19" t="s">
        <v>34</v>
      </c>
      <c r="G37" s="19" t="s">
        <v>138</v>
      </c>
    </row>
    <row r="38" customFormat="false" ht="15" hidden="false" customHeight="false" outlineLevel="0" collapsed="false">
      <c r="A38" s="11" t="s">
        <v>139</v>
      </c>
      <c r="B38" s="11" t="s">
        <v>140</v>
      </c>
      <c r="C38" s="11" t="n">
        <v>264</v>
      </c>
      <c r="D38" s="11" t="n">
        <v>500</v>
      </c>
      <c r="E38" s="17" t="str">
        <f aca="false">IF(D38&gt;=C38,"YES","PARTIAL")</f>
        <v>YES</v>
      </c>
      <c r="F38" s="15" t="s">
        <v>141</v>
      </c>
      <c r="G38" s="15"/>
    </row>
    <row r="39" customFormat="false" ht="15" hidden="false" customHeight="false" outlineLevel="0" collapsed="false">
      <c r="A39" s="11" t="s">
        <v>142</v>
      </c>
      <c r="B39" s="11" t="s">
        <v>143</v>
      </c>
      <c r="C39" s="11" t="n">
        <v>16</v>
      </c>
      <c r="D39" s="11" t="n">
        <v>391</v>
      </c>
      <c r="E39" s="17" t="str">
        <f aca="false">IF(D39&gt;=C39,"YES","PARTIAL")</f>
        <v>YES</v>
      </c>
      <c r="F39" s="15" t="s">
        <v>144</v>
      </c>
      <c r="G39" s="15" t="s">
        <v>145</v>
      </c>
    </row>
    <row r="40" customFormat="false" ht="15" hidden="false" customHeight="false" outlineLevel="0" collapsed="false">
      <c r="A40" s="11" t="s">
        <v>146</v>
      </c>
      <c r="B40" s="11" t="s">
        <v>147</v>
      </c>
      <c r="C40" s="11" t="n">
        <v>31</v>
      </c>
      <c r="D40" s="11" t="n">
        <v>150</v>
      </c>
      <c r="E40" s="17" t="str">
        <f aca="false">IF(D40&gt;=C40,"YES","PARTIAL")</f>
        <v>YES</v>
      </c>
      <c r="F40" s="15" t="s">
        <v>39</v>
      </c>
      <c r="G40" s="15" t="s">
        <v>145</v>
      </c>
    </row>
    <row r="41" customFormat="false" ht="15" hidden="false" customHeight="false" outlineLevel="0" collapsed="false">
      <c r="A41" s="11" t="s">
        <v>148</v>
      </c>
      <c r="B41" s="11" t="s">
        <v>149</v>
      </c>
      <c r="C41" s="11" t="n">
        <v>140</v>
      </c>
      <c r="D41" s="11" t="n">
        <v>50</v>
      </c>
      <c r="E41" s="17" t="str">
        <f aca="false">IF(D41&gt;=C41,"YES","PARTIAL")</f>
        <v>PARTIAL</v>
      </c>
      <c r="F41" s="15" t="s">
        <v>150</v>
      </c>
      <c r="G41" s="15"/>
    </row>
    <row r="42" customFormat="false" ht="15" hidden="false" customHeight="false" outlineLevel="0" collapsed="false">
      <c r="A42" s="11" t="s">
        <v>151</v>
      </c>
      <c r="B42" s="11" t="s">
        <v>152</v>
      </c>
      <c r="C42" s="11" t="n">
        <v>1</v>
      </c>
      <c r="D42" s="11" t="n">
        <v>50</v>
      </c>
      <c r="E42" s="17" t="str">
        <f aca="false">IF(D42&gt;=C42,"YES","PARTIAL")</f>
        <v>YES</v>
      </c>
      <c r="F42" s="15" t="s">
        <v>50</v>
      </c>
      <c r="G42" s="15" t="s">
        <v>145</v>
      </c>
    </row>
    <row r="43" customFormat="false" ht="15" hidden="false" customHeight="false" outlineLevel="0" collapsed="false">
      <c r="A43" s="11" t="s">
        <v>153</v>
      </c>
      <c r="B43" s="11" t="s">
        <v>154</v>
      </c>
      <c r="C43" s="11" t="n">
        <v>56</v>
      </c>
      <c r="D43" s="11" t="n">
        <v>44</v>
      </c>
      <c r="E43" s="17" t="str">
        <f aca="false">IF(D43&gt;=C43,"YES","PARTIAL")</f>
        <v>PARTIAL</v>
      </c>
      <c r="F43" s="15" t="s">
        <v>39</v>
      </c>
      <c r="G43" s="15"/>
    </row>
    <row r="44" customFormat="false" ht="15" hidden="false" customHeight="false" outlineLevel="0" collapsed="false">
      <c r="A44" s="11" t="s">
        <v>155</v>
      </c>
      <c r="B44" s="11" t="s">
        <v>38</v>
      </c>
      <c r="C44" s="11" t="n">
        <v>2</v>
      </c>
      <c r="D44" s="11" t="n">
        <v>35</v>
      </c>
      <c r="E44" s="17" t="str">
        <f aca="false">IF(D44&gt;=C44,"YES","PARTIAL")</f>
        <v>YES</v>
      </c>
      <c r="F44" s="15" t="s">
        <v>39</v>
      </c>
      <c r="G44" s="15" t="s">
        <v>145</v>
      </c>
    </row>
    <row r="45" customFormat="false" ht="15" hidden="false" customHeight="false" outlineLevel="0" collapsed="false">
      <c r="A45" s="11" t="s">
        <v>156</v>
      </c>
      <c r="B45" s="11" t="s">
        <v>157</v>
      </c>
      <c r="C45" s="11" t="n">
        <v>6</v>
      </c>
      <c r="D45" s="11" t="n">
        <v>30</v>
      </c>
      <c r="E45" s="17" t="str">
        <f aca="false">IF(D45&gt;=C45,"YES","PARTIAL")</f>
        <v>YES</v>
      </c>
      <c r="F45" s="15" t="s">
        <v>158</v>
      </c>
      <c r="G45" s="15" t="s">
        <v>145</v>
      </c>
    </row>
    <row r="46" customFormat="false" ht="15" hidden="false" customHeight="false" outlineLevel="0" collapsed="false">
      <c r="A46" s="11" t="s">
        <v>159</v>
      </c>
      <c r="B46" s="11" t="s">
        <v>160</v>
      </c>
      <c r="C46" s="11" t="n">
        <v>27</v>
      </c>
      <c r="D46" s="11" t="n">
        <v>25</v>
      </c>
      <c r="E46" s="17" t="str">
        <f aca="false">IF(D46&gt;=C46,"YES","PARTIAL")</f>
        <v>PARTIAL</v>
      </c>
      <c r="F46" s="15" t="s">
        <v>161</v>
      </c>
      <c r="G46" s="15"/>
    </row>
    <row r="47" customFormat="false" ht="15" hidden="false" customHeight="false" outlineLevel="0" collapsed="false">
      <c r="A47" s="11" t="s">
        <v>162</v>
      </c>
      <c r="B47" s="11" t="s">
        <v>163</v>
      </c>
      <c r="C47" s="11" t="n">
        <v>3</v>
      </c>
      <c r="D47" s="11" t="n">
        <v>25</v>
      </c>
      <c r="E47" s="17" t="str">
        <f aca="false">IF(D47&gt;=C47,"YES","PARTIAL")</f>
        <v>YES</v>
      </c>
      <c r="F47" s="15" t="s">
        <v>39</v>
      </c>
      <c r="G47" s="15" t="s">
        <v>145</v>
      </c>
    </row>
    <row r="48" customFormat="false" ht="15" hidden="false" customHeight="false" outlineLevel="0" collapsed="false">
      <c r="A48" s="11" t="s">
        <v>164</v>
      </c>
      <c r="B48" s="11" t="s">
        <v>165</v>
      </c>
      <c r="C48" s="11" t="n">
        <v>6</v>
      </c>
      <c r="D48" s="11" t="n">
        <v>8</v>
      </c>
      <c r="E48" s="17" t="str">
        <f aca="false">IF(D48&gt;=C48,"YES","PARTIAL")</f>
        <v>YES</v>
      </c>
      <c r="F48" s="15" t="s">
        <v>39</v>
      </c>
      <c r="G48" s="15"/>
    </row>
    <row r="49" customFormat="false" ht="15" hidden="false" customHeight="false" outlineLevel="0" collapsed="false">
      <c r="A49" s="11" t="s">
        <v>166</v>
      </c>
      <c r="B49" s="11" t="s">
        <v>167</v>
      </c>
      <c r="C49" s="11" t="n">
        <v>1</v>
      </c>
      <c r="D49" s="11" t="n">
        <v>6</v>
      </c>
      <c r="E49" s="17" t="str">
        <f aca="false">IF(D49&gt;=C49,"YES","PARTIAL")</f>
        <v>YES</v>
      </c>
      <c r="F49" s="15" t="s">
        <v>54</v>
      </c>
      <c r="G49" s="15" t="s">
        <v>145</v>
      </c>
    </row>
    <row r="51" customFormat="false" ht="15" hidden="false" customHeight="false" outlineLevel="0" collapsed="false">
      <c r="A51" s="9" t="s">
        <v>168</v>
      </c>
    </row>
    <row r="52" customFormat="false" ht="15" hidden="false" customHeight="false" outlineLevel="0" collapsed="false">
      <c r="A52" s="20" t="s">
        <v>169</v>
      </c>
    </row>
    <row r="53" customFormat="false" ht="15" hidden="false" customHeight="false" outlineLevel="0" collapsed="false">
      <c r="A53" s="20" t="s">
        <v>170</v>
      </c>
    </row>
    <row r="54" customFormat="false" ht="15" hidden="false" customHeight="false" outlineLevel="0" collapsed="false">
      <c r="A54" s="20" t="s">
        <v>171</v>
      </c>
    </row>
    <row r="55" customFormat="false" ht="15" hidden="false" customHeight="false" outlineLevel="0" collapsed="false">
      <c r="A55" s="20" t="s">
        <v>172</v>
      </c>
    </row>
    <row r="56" customFormat="false" ht="15" hidden="false" customHeight="false" outlineLevel="0" collapsed="false">
      <c r="A56" s="20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0171F"/>
    <pageSetUpPr fitToPage="false"/>
  </sheetPr>
  <dimension ref="A1:L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6"/>
    <col collapsed="false" customWidth="true" hidden="false" outlineLevel="0" max="3" min="3" style="1" width="7"/>
    <col collapsed="false" customWidth="true" hidden="false" outlineLevel="0" max="4" min="4" style="1" width="6"/>
    <col collapsed="false" customWidth="true" hidden="false" outlineLevel="0" max="7" min="5" style="1" width="11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8"/>
    <col collapsed="false" customWidth="true" hidden="false" outlineLevel="0" max="11" min="11" style="1" width="13"/>
    <col collapsed="false" customWidth="true" hidden="false" outlineLevel="0" max="12" min="12" style="1" width="26"/>
  </cols>
  <sheetData>
    <row r="1" customFormat="false" ht="15" hidden="false" customHeight="true" outlineLevel="0" collapsed="false">
      <c r="A1" s="21" t="s">
        <v>174</v>
      </c>
    </row>
    <row r="2" customFormat="false" ht="15" hidden="false" customHeight="true" outlineLevel="0" collapsed="false">
      <c r="A2" s="22" t="s">
        <v>175</v>
      </c>
    </row>
    <row r="4" customFormat="false" ht="23.25" hidden="false" customHeight="true" outlineLevel="0" collapsed="false">
      <c r="A4" s="10" t="s">
        <v>28</v>
      </c>
      <c r="B4" s="10" t="s">
        <v>29</v>
      </c>
      <c r="C4" s="10" t="s">
        <v>176</v>
      </c>
      <c r="D4" s="10" t="s">
        <v>177</v>
      </c>
      <c r="E4" s="10" t="s">
        <v>178</v>
      </c>
      <c r="F4" s="10" t="s">
        <v>179</v>
      </c>
      <c r="G4" s="10" t="s">
        <v>180</v>
      </c>
      <c r="H4" s="10" t="s">
        <v>181</v>
      </c>
      <c r="I4" s="10" t="s">
        <v>182</v>
      </c>
      <c r="J4" s="10" t="s">
        <v>183</v>
      </c>
      <c r="K4" s="10" t="s">
        <v>184</v>
      </c>
      <c r="L4" s="10" t="s">
        <v>185</v>
      </c>
    </row>
    <row r="5" customFormat="false" ht="15" hidden="false" customHeight="true" outlineLevel="0" collapsed="false">
      <c r="A5" s="4" t="s">
        <v>186</v>
      </c>
      <c r="B5" s="4" t="s">
        <v>187</v>
      </c>
      <c r="C5" s="4" t="s">
        <v>188</v>
      </c>
      <c r="D5" s="4" t="n">
        <v>10</v>
      </c>
      <c r="E5" s="4" t="n">
        <v>8206</v>
      </c>
      <c r="F5" s="4" t="n">
        <v>37200.0001</v>
      </c>
      <c r="G5" s="6" t="n">
        <f aca="false">F5-E5</f>
        <v>28994.0001</v>
      </c>
      <c r="H5" s="23" t="n">
        <v>1.28</v>
      </c>
      <c r="I5" s="24" t="n">
        <f aca="false">IF(H5="","",G5*H5)</f>
        <v>37112.320128</v>
      </c>
      <c r="J5" s="25" t="s">
        <v>189</v>
      </c>
      <c r="K5" s="26"/>
      <c r="L5" s="26"/>
    </row>
    <row r="6" customFormat="false" ht="15" hidden="false" customHeight="true" outlineLevel="0" collapsed="false">
      <c r="A6" s="4" t="s">
        <v>190</v>
      </c>
      <c r="B6" s="4" t="s">
        <v>191</v>
      </c>
      <c r="C6" s="4" t="s">
        <v>192</v>
      </c>
      <c r="D6" s="4" t="n">
        <v>15</v>
      </c>
      <c r="E6" s="4" t="n">
        <v>1078</v>
      </c>
      <c r="F6" s="4" t="n">
        <v>1448</v>
      </c>
      <c r="G6" s="6" t="n">
        <f aca="false">F6-E6</f>
        <v>370</v>
      </c>
      <c r="H6" s="23" t="n">
        <v>94.28</v>
      </c>
      <c r="I6" s="24" t="n">
        <f aca="false">IF(H6="","",G6*H6)</f>
        <v>34883.6</v>
      </c>
      <c r="J6" s="25"/>
      <c r="K6" s="26"/>
      <c r="L6" s="26"/>
    </row>
    <row r="7" customFormat="false" ht="15" hidden="false" customHeight="true" outlineLevel="0" collapsed="false">
      <c r="A7" s="4" t="s">
        <v>193</v>
      </c>
      <c r="B7" s="4" t="s">
        <v>194</v>
      </c>
      <c r="C7" s="4" t="s">
        <v>188</v>
      </c>
      <c r="D7" s="4" t="n">
        <v>10</v>
      </c>
      <c r="E7" s="4" t="n">
        <v>61866</v>
      </c>
      <c r="F7" s="4" t="n">
        <v>86799.9999</v>
      </c>
      <c r="G7" s="6" t="n">
        <f aca="false">F7-E7</f>
        <v>24933.9999</v>
      </c>
      <c r="H7" s="23" t="n">
        <v>1.09</v>
      </c>
      <c r="I7" s="24" t="n">
        <f aca="false">IF(H7="","",G7*H7)</f>
        <v>27178.059891</v>
      </c>
      <c r="J7" s="25" t="s">
        <v>189</v>
      </c>
      <c r="K7" s="26"/>
      <c r="L7" s="26"/>
    </row>
    <row r="8" customFormat="false" ht="15" hidden="false" customHeight="true" outlineLevel="0" collapsed="false">
      <c r="A8" s="4" t="s">
        <v>41</v>
      </c>
      <c r="B8" s="4" t="s">
        <v>42</v>
      </c>
      <c r="C8" s="4" t="s">
        <v>192</v>
      </c>
      <c r="D8" s="4" t="n">
        <v>9</v>
      </c>
      <c r="E8" s="4" t="n">
        <v>91</v>
      </c>
      <c r="F8" s="4" t="n">
        <v>260</v>
      </c>
      <c r="G8" s="6" t="n">
        <f aca="false">F8-E8</f>
        <v>169</v>
      </c>
      <c r="H8" s="23" t="n">
        <v>138.81</v>
      </c>
      <c r="I8" s="24" t="n">
        <f aca="false">IF(H8="","",G8*H8)</f>
        <v>23458.89</v>
      </c>
      <c r="J8" s="25"/>
      <c r="K8" s="26"/>
      <c r="L8" s="26"/>
    </row>
    <row r="9" customFormat="false" ht="15" hidden="false" customHeight="true" outlineLevel="0" collapsed="false">
      <c r="A9" s="4" t="s">
        <v>195</v>
      </c>
      <c r="B9" s="4" t="s">
        <v>196</v>
      </c>
      <c r="C9" s="4" t="s">
        <v>192</v>
      </c>
      <c r="D9" s="4" t="n">
        <v>2</v>
      </c>
      <c r="E9" s="4" t="n">
        <v>32</v>
      </c>
      <c r="F9" s="4" t="n">
        <v>3500</v>
      </c>
      <c r="G9" s="6" t="n">
        <f aca="false">F9-E9</f>
        <v>3468</v>
      </c>
      <c r="H9" s="23" t="n">
        <v>6.2</v>
      </c>
      <c r="I9" s="24" t="n">
        <f aca="false">IF(H9="","",G9*H9)</f>
        <v>21501.6</v>
      </c>
      <c r="J9" s="25"/>
      <c r="K9" s="26"/>
      <c r="L9" s="26"/>
    </row>
    <row r="10" customFormat="false" ht="15" hidden="false" customHeight="true" outlineLevel="0" collapsed="false">
      <c r="A10" s="4" t="s">
        <v>45</v>
      </c>
      <c r="B10" s="4" t="s">
        <v>46</v>
      </c>
      <c r="C10" s="4" t="s">
        <v>192</v>
      </c>
      <c r="D10" s="4" t="n">
        <v>13</v>
      </c>
      <c r="E10" s="4" t="n">
        <v>93</v>
      </c>
      <c r="F10" s="4" t="n">
        <v>222</v>
      </c>
      <c r="G10" s="6" t="n">
        <f aca="false">F10-E10</f>
        <v>129</v>
      </c>
      <c r="H10" s="23" t="n">
        <v>134.26</v>
      </c>
      <c r="I10" s="24" t="n">
        <f aca="false">IF(H10="","",G10*H10)</f>
        <v>17319.54</v>
      </c>
      <c r="J10" s="25"/>
      <c r="K10" s="26"/>
      <c r="L10" s="26"/>
    </row>
    <row r="11" customFormat="false" ht="15" hidden="false" customHeight="true" outlineLevel="0" collapsed="false">
      <c r="A11" s="4" t="s">
        <v>52</v>
      </c>
      <c r="B11" s="4" t="s">
        <v>53</v>
      </c>
      <c r="C11" s="4" t="s">
        <v>192</v>
      </c>
      <c r="D11" s="4" t="n">
        <v>13</v>
      </c>
      <c r="E11" s="4" t="n">
        <v>562</v>
      </c>
      <c r="F11" s="4" t="n">
        <v>830</v>
      </c>
      <c r="G11" s="6" t="n">
        <f aca="false">F11-E11</f>
        <v>268</v>
      </c>
      <c r="H11" s="23" t="n">
        <v>35.03</v>
      </c>
      <c r="I11" s="24" t="n">
        <f aca="false">IF(H11="","",G11*H11)</f>
        <v>9388.04</v>
      </c>
      <c r="J11" s="25"/>
      <c r="K11" s="26"/>
      <c r="L11" s="26"/>
    </row>
    <row r="12" customFormat="false" ht="15" hidden="false" customHeight="true" outlineLevel="0" collapsed="false">
      <c r="A12" s="4" t="s">
        <v>197</v>
      </c>
      <c r="B12" s="4" t="s">
        <v>198</v>
      </c>
      <c r="C12" s="4" t="s">
        <v>192</v>
      </c>
      <c r="D12" s="4" t="n">
        <v>11</v>
      </c>
      <c r="E12" s="4" t="n">
        <v>68</v>
      </c>
      <c r="F12" s="4" t="n">
        <v>83</v>
      </c>
      <c r="G12" s="6" t="n">
        <f aca="false">F12-E12</f>
        <v>15</v>
      </c>
      <c r="H12" s="23" t="n">
        <v>544.84</v>
      </c>
      <c r="I12" s="24" t="n">
        <f aca="false">IF(H12="","",G12*H12)</f>
        <v>8172.6</v>
      </c>
      <c r="J12" s="25" t="s">
        <v>189</v>
      </c>
      <c r="K12" s="26"/>
      <c r="L12" s="26"/>
    </row>
    <row r="13" customFormat="false" ht="15" hidden="false" customHeight="true" outlineLevel="0" collapsed="false">
      <c r="A13" s="4" t="s">
        <v>37</v>
      </c>
      <c r="B13" s="4" t="s">
        <v>38</v>
      </c>
      <c r="C13" s="4" t="s">
        <v>192</v>
      </c>
      <c r="D13" s="4" t="n">
        <v>11</v>
      </c>
      <c r="E13" s="4" t="n">
        <v>49</v>
      </c>
      <c r="F13" s="4" t="n">
        <v>51</v>
      </c>
      <c r="G13" s="6" t="n">
        <f aca="false">F13-E13</f>
        <v>2</v>
      </c>
      <c r="H13" s="23" t="n">
        <v>3799.15</v>
      </c>
      <c r="I13" s="24" t="n">
        <f aca="false">IF(H13="","",G13*H13)</f>
        <v>7598.3</v>
      </c>
      <c r="J13" s="25" t="s">
        <v>189</v>
      </c>
      <c r="K13" s="26"/>
      <c r="L13" s="26"/>
    </row>
    <row r="14" customFormat="false" ht="15" hidden="false" customHeight="true" outlineLevel="0" collapsed="false">
      <c r="A14" s="4" t="s">
        <v>48</v>
      </c>
      <c r="B14" s="4" t="s">
        <v>49</v>
      </c>
      <c r="C14" s="4" t="s">
        <v>192</v>
      </c>
      <c r="D14" s="4" t="n">
        <v>13</v>
      </c>
      <c r="E14" s="4" t="n">
        <v>85</v>
      </c>
      <c r="F14" s="4" t="n">
        <v>103</v>
      </c>
      <c r="G14" s="6" t="n">
        <f aca="false">F14-E14</f>
        <v>18</v>
      </c>
      <c r="H14" s="23" t="n">
        <v>285.68</v>
      </c>
      <c r="I14" s="24" t="n">
        <f aca="false">IF(H14="","",G14*H14)</f>
        <v>5142.24</v>
      </c>
      <c r="J14" s="25" t="s">
        <v>189</v>
      </c>
      <c r="K14" s="26"/>
      <c r="L14" s="26"/>
    </row>
    <row r="15" customFormat="false" ht="15" hidden="false" customHeight="true" outlineLevel="0" collapsed="false">
      <c r="A15" s="4" t="s">
        <v>199</v>
      </c>
      <c r="B15" s="4" t="s">
        <v>200</v>
      </c>
      <c r="C15" s="4" t="s">
        <v>192</v>
      </c>
      <c r="D15" s="4" t="n">
        <v>5</v>
      </c>
      <c r="E15" s="4" t="n">
        <v>35</v>
      </c>
      <c r="F15" s="4" t="n">
        <v>43</v>
      </c>
      <c r="G15" s="6" t="n">
        <f aca="false">F15-E15</f>
        <v>8</v>
      </c>
      <c r="H15" s="23" t="n">
        <v>604.66</v>
      </c>
      <c r="I15" s="24" t="n">
        <f aca="false">IF(H15="","",G15*H15)</f>
        <v>4837.28</v>
      </c>
      <c r="J15" s="25" t="s">
        <v>189</v>
      </c>
      <c r="K15" s="26"/>
      <c r="L15" s="26"/>
    </row>
    <row r="16" customFormat="false" ht="15" hidden="false" customHeight="true" outlineLevel="0" collapsed="false">
      <c r="A16" s="4" t="s">
        <v>201</v>
      </c>
      <c r="B16" s="4" t="s">
        <v>202</v>
      </c>
      <c r="C16" s="4" t="s">
        <v>192</v>
      </c>
      <c r="D16" s="4" t="n">
        <v>15</v>
      </c>
      <c r="E16" s="4" t="n">
        <v>227</v>
      </c>
      <c r="F16" s="4" t="n">
        <v>305</v>
      </c>
      <c r="G16" s="6" t="n">
        <f aca="false">F16-E16</f>
        <v>78</v>
      </c>
      <c r="H16" s="23" t="n">
        <v>55.54</v>
      </c>
      <c r="I16" s="24" t="n">
        <f aca="false">IF(H16="","",G16*H16)</f>
        <v>4332.12</v>
      </c>
      <c r="J16" s="25"/>
      <c r="K16" s="26"/>
      <c r="L16" s="26"/>
    </row>
    <row r="17" customFormat="false" ht="15" hidden="false" customHeight="true" outlineLevel="0" collapsed="false">
      <c r="A17" s="4" t="s">
        <v>66</v>
      </c>
      <c r="B17" s="4" t="s">
        <v>46</v>
      </c>
      <c r="C17" s="4" t="s">
        <v>192</v>
      </c>
      <c r="D17" s="4" t="n">
        <v>8</v>
      </c>
      <c r="E17" s="4" t="n">
        <v>17</v>
      </c>
      <c r="F17" s="4" t="n">
        <v>35</v>
      </c>
      <c r="G17" s="6" t="n">
        <f aca="false">F17-E17</f>
        <v>18</v>
      </c>
      <c r="H17" s="23" t="n">
        <v>215.27</v>
      </c>
      <c r="I17" s="24" t="n">
        <f aca="false">IF(H17="","",G17*H17)</f>
        <v>3874.86</v>
      </c>
      <c r="J17" s="25"/>
      <c r="K17" s="26"/>
      <c r="L17" s="26"/>
    </row>
    <row r="18" customFormat="false" ht="15" hidden="false" customHeight="true" outlineLevel="0" collapsed="false">
      <c r="A18" s="4" t="s">
        <v>56</v>
      </c>
      <c r="B18" s="4" t="s">
        <v>57</v>
      </c>
      <c r="C18" s="4" t="s">
        <v>192</v>
      </c>
      <c r="D18" s="4" t="n">
        <v>10</v>
      </c>
      <c r="E18" s="4" t="n">
        <v>78</v>
      </c>
      <c r="F18" s="4" t="n">
        <v>94</v>
      </c>
      <c r="G18" s="6" t="n">
        <f aca="false">F18-E18</f>
        <v>16</v>
      </c>
      <c r="H18" s="23" t="n">
        <v>229.42</v>
      </c>
      <c r="I18" s="24" t="n">
        <f aca="false">IF(H18="","",G18*H18)</f>
        <v>3670.72</v>
      </c>
      <c r="J18" s="25"/>
      <c r="K18" s="26"/>
      <c r="L18" s="26"/>
    </row>
    <row r="19" customFormat="false" ht="15" hidden="false" customHeight="true" outlineLevel="0" collapsed="false">
      <c r="A19" s="4" t="s">
        <v>203</v>
      </c>
      <c r="B19" s="4" t="s">
        <v>204</v>
      </c>
      <c r="C19" s="4" t="s">
        <v>192</v>
      </c>
      <c r="D19" s="4" t="n">
        <v>10</v>
      </c>
      <c r="E19" s="4" t="n">
        <v>12</v>
      </c>
      <c r="F19" s="4" t="n">
        <v>180</v>
      </c>
      <c r="G19" s="6" t="n">
        <f aca="false">F19-E19</f>
        <v>168</v>
      </c>
      <c r="H19" s="23" t="n">
        <v>19.54</v>
      </c>
      <c r="I19" s="24" t="n">
        <f aca="false">IF(H19="","",G19*H19)</f>
        <v>3282.72</v>
      </c>
      <c r="J19" s="25"/>
      <c r="K19" s="26"/>
      <c r="L19" s="26"/>
    </row>
    <row r="20" customFormat="false" ht="15" hidden="false" customHeight="true" outlineLevel="0" collapsed="false">
      <c r="A20" s="4" t="s">
        <v>205</v>
      </c>
      <c r="B20" s="4" t="s">
        <v>206</v>
      </c>
      <c r="C20" s="4" t="s">
        <v>192</v>
      </c>
      <c r="D20" s="4" t="n">
        <v>13</v>
      </c>
      <c r="E20" s="4" t="n">
        <v>83</v>
      </c>
      <c r="F20" s="4" t="n">
        <v>173</v>
      </c>
      <c r="G20" s="6" t="n">
        <f aca="false">F20-E20</f>
        <v>90</v>
      </c>
      <c r="H20" s="23" t="n">
        <v>34.73</v>
      </c>
      <c r="I20" s="24" t="n">
        <f aca="false">IF(H20="","",G20*H20)</f>
        <v>3125.7</v>
      </c>
      <c r="J20" s="25"/>
      <c r="K20" s="26"/>
      <c r="L20" s="26"/>
    </row>
    <row r="21" customFormat="false" ht="15" hidden="false" customHeight="true" outlineLevel="0" collapsed="false">
      <c r="A21" s="4" t="s">
        <v>207</v>
      </c>
      <c r="B21" s="4" t="s">
        <v>208</v>
      </c>
      <c r="C21" s="4" t="s">
        <v>192</v>
      </c>
      <c r="D21" s="4" t="n">
        <v>13</v>
      </c>
      <c r="E21" s="4" t="n">
        <v>572</v>
      </c>
      <c r="F21" s="4" t="n">
        <v>866</v>
      </c>
      <c r="G21" s="6" t="n">
        <f aca="false">F21-E21</f>
        <v>294</v>
      </c>
      <c r="H21" s="23" t="n">
        <v>9.03</v>
      </c>
      <c r="I21" s="24" t="n">
        <f aca="false">IF(H21="","",G21*H21)</f>
        <v>2654.82</v>
      </c>
      <c r="J21" s="25"/>
      <c r="K21" s="26"/>
      <c r="L21" s="26"/>
    </row>
    <row r="22" customFormat="false" ht="15" hidden="false" customHeight="true" outlineLevel="0" collapsed="false">
      <c r="A22" s="4" t="s">
        <v>209</v>
      </c>
      <c r="B22" s="4" t="s">
        <v>210</v>
      </c>
      <c r="C22" s="4" t="s">
        <v>192</v>
      </c>
      <c r="D22" s="4" t="n">
        <v>10</v>
      </c>
      <c r="E22" s="4" t="n">
        <v>324</v>
      </c>
      <c r="F22" s="4" t="n">
        <v>354</v>
      </c>
      <c r="G22" s="6" t="n">
        <f aca="false">F22-E22</f>
        <v>30</v>
      </c>
      <c r="H22" s="23" t="n">
        <v>86.51</v>
      </c>
      <c r="I22" s="24" t="n">
        <f aca="false">IF(H22="","",G22*H22)</f>
        <v>2595.3</v>
      </c>
      <c r="J22" s="25"/>
      <c r="K22" s="26"/>
      <c r="L22" s="26"/>
    </row>
    <row r="23" customFormat="false" ht="15" hidden="false" customHeight="true" outlineLevel="0" collapsed="false">
      <c r="A23" s="4" t="s">
        <v>211</v>
      </c>
      <c r="B23" s="4" t="s">
        <v>212</v>
      </c>
      <c r="C23" s="4" t="s">
        <v>192</v>
      </c>
      <c r="D23" s="4" t="n">
        <v>12</v>
      </c>
      <c r="E23" s="4" t="n">
        <v>30</v>
      </c>
      <c r="F23" s="4" t="n">
        <v>127</v>
      </c>
      <c r="G23" s="6" t="n">
        <f aca="false">F23-E23</f>
        <v>97</v>
      </c>
      <c r="H23" s="23" t="n">
        <v>24.69</v>
      </c>
      <c r="I23" s="24" t="n">
        <f aca="false">IF(H23="","",G23*H23)</f>
        <v>2394.93</v>
      </c>
      <c r="J23" s="25"/>
      <c r="K23" s="26"/>
      <c r="L23" s="26"/>
    </row>
    <row r="24" customFormat="false" ht="15" hidden="false" customHeight="true" outlineLevel="0" collapsed="false">
      <c r="A24" s="4" t="s">
        <v>213</v>
      </c>
      <c r="B24" s="4" t="s">
        <v>214</v>
      </c>
      <c r="C24" s="4" t="s">
        <v>192</v>
      </c>
      <c r="D24" s="4" t="n">
        <v>12</v>
      </c>
      <c r="E24" s="4" t="n">
        <v>22</v>
      </c>
      <c r="F24" s="4" t="n">
        <v>290</v>
      </c>
      <c r="G24" s="6" t="n">
        <f aca="false">F24-E24</f>
        <v>268</v>
      </c>
      <c r="H24" s="23" t="n">
        <v>7.17</v>
      </c>
      <c r="I24" s="24" t="n">
        <f aca="false">IF(H24="","",G24*H24)</f>
        <v>1921.56</v>
      </c>
      <c r="J24" s="25"/>
      <c r="K24" s="26"/>
      <c r="L24" s="26"/>
    </row>
    <row r="25" customFormat="false" ht="15" hidden="false" customHeight="true" outlineLevel="0" collapsed="false">
      <c r="A25" s="4" t="s">
        <v>215</v>
      </c>
      <c r="B25" s="4" t="s">
        <v>216</v>
      </c>
      <c r="C25" s="4" t="s">
        <v>192</v>
      </c>
      <c r="D25" s="4" t="n">
        <v>12</v>
      </c>
      <c r="E25" s="4" t="n">
        <v>38</v>
      </c>
      <c r="F25" s="4" t="n">
        <v>84</v>
      </c>
      <c r="G25" s="6" t="n">
        <f aca="false">F25-E25</f>
        <v>46</v>
      </c>
      <c r="H25" s="23" t="n">
        <v>39.73</v>
      </c>
      <c r="I25" s="24" t="n">
        <f aca="false">IF(H25="","",G25*H25)</f>
        <v>1827.58</v>
      </c>
      <c r="J25" s="25" t="s">
        <v>189</v>
      </c>
      <c r="K25" s="26"/>
      <c r="L25" s="26"/>
    </row>
    <row r="26" customFormat="false" ht="15" hidden="false" customHeight="true" outlineLevel="0" collapsed="false">
      <c r="A26" s="4" t="s">
        <v>217</v>
      </c>
      <c r="B26" s="4" t="s">
        <v>218</v>
      </c>
      <c r="C26" s="4" t="s">
        <v>192</v>
      </c>
      <c r="D26" s="4" t="n">
        <v>15</v>
      </c>
      <c r="E26" s="4" t="n">
        <v>1112</v>
      </c>
      <c r="F26" s="4" t="n">
        <v>1729</v>
      </c>
      <c r="G26" s="6" t="n">
        <f aca="false">F26-E26</f>
        <v>617</v>
      </c>
      <c r="H26" s="23" t="n">
        <v>2.93</v>
      </c>
      <c r="I26" s="24" t="n">
        <f aca="false">IF(H26="","",G26*H26)</f>
        <v>1807.81</v>
      </c>
      <c r="J26" s="25"/>
      <c r="K26" s="26"/>
      <c r="L26" s="26"/>
    </row>
    <row r="27" customFormat="false" ht="15" hidden="false" customHeight="true" outlineLevel="0" collapsed="false">
      <c r="A27" s="4" t="s">
        <v>60</v>
      </c>
      <c r="B27" s="4" t="s">
        <v>61</v>
      </c>
      <c r="C27" s="4" t="s">
        <v>192</v>
      </c>
      <c r="D27" s="4" t="n">
        <v>11</v>
      </c>
      <c r="E27" s="4" t="n">
        <v>81</v>
      </c>
      <c r="F27" s="4" t="n">
        <v>89</v>
      </c>
      <c r="G27" s="6" t="n">
        <f aca="false">F27-E27</f>
        <v>8</v>
      </c>
      <c r="H27" s="23" t="n">
        <v>213.39</v>
      </c>
      <c r="I27" s="24" t="n">
        <f aca="false">IF(H27="","",G27*H27)</f>
        <v>1707.12</v>
      </c>
      <c r="J27" s="25" t="s">
        <v>189</v>
      </c>
      <c r="K27" s="26"/>
      <c r="L27" s="26"/>
    </row>
    <row r="28" customFormat="false" ht="15" hidden="false" customHeight="true" outlineLevel="0" collapsed="false">
      <c r="A28" s="4" t="s">
        <v>219</v>
      </c>
      <c r="B28" s="4" t="s">
        <v>208</v>
      </c>
      <c r="C28" s="4" t="s">
        <v>192</v>
      </c>
      <c r="D28" s="4" t="n">
        <v>8</v>
      </c>
      <c r="E28" s="4" t="n">
        <v>126</v>
      </c>
      <c r="F28" s="4" t="n">
        <v>220</v>
      </c>
      <c r="G28" s="6" t="n">
        <f aca="false">F28-E28</f>
        <v>94</v>
      </c>
      <c r="H28" s="23" t="n">
        <v>16.56</v>
      </c>
      <c r="I28" s="24" t="n">
        <f aca="false">IF(H28="","",G28*H28)</f>
        <v>1556.64</v>
      </c>
      <c r="J28" s="25"/>
      <c r="K28" s="26"/>
      <c r="L28" s="26"/>
    </row>
    <row r="29" customFormat="false" ht="15" hidden="false" customHeight="true" outlineLevel="0" collapsed="false">
      <c r="A29" s="4" t="s">
        <v>63</v>
      </c>
      <c r="B29" s="4" t="s">
        <v>64</v>
      </c>
      <c r="C29" s="4" t="s">
        <v>192</v>
      </c>
      <c r="D29" s="4" t="n">
        <v>11</v>
      </c>
      <c r="E29" s="4" t="n">
        <v>34</v>
      </c>
      <c r="F29" s="4" t="n">
        <v>40</v>
      </c>
      <c r="G29" s="6" t="n">
        <f aca="false">F29-E29</f>
        <v>6</v>
      </c>
      <c r="H29" s="23" t="n">
        <v>240.72</v>
      </c>
      <c r="I29" s="24" t="n">
        <f aca="false">IF(H29="","",G29*H29)</f>
        <v>1444.32</v>
      </c>
      <c r="J29" s="25" t="s">
        <v>189</v>
      </c>
      <c r="K29" s="26"/>
      <c r="L29" s="26"/>
    </row>
    <row r="30" customFormat="false" ht="15" hidden="false" customHeight="true" outlineLevel="0" collapsed="false">
      <c r="A30" s="4" t="s">
        <v>68</v>
      </c>
      <c r="B30" s="4" t="s">
        <v>69</v>
      </c>
      <c r="C30" s="4" t="s">
        <v>192</v>
      </c>
      <c r="D30" s="4" t="n">
        <v>1</v>
      </c>
      <c r="E30" s="4" t="n">
        <v>3</v>
      </c>
      <c r="F30" s="4" t="n">
        <v>4</v>
      </c>
      <c r="G30" s="6" t="n">
        <f aca="false">F30-E30</f>
        <v>1</v>
      </c>
      <c r="H30" s="23" t="n">
        <v>1332.49</v>
      </c>
      <c r="I30" s="24" t="n">
        <f aca="false">IF(H30="","",G30*H30)</f>
        <v>1332.49</v>
      </c>
      <c r="J30" s="25" t="s">
        <v>189</v>
      </c>
      <c r="K30" s="26"/>
      <c r="L30" s="26"/>
    </row>
    <row r="31" customFormat="false" ht="15" hidden="false" customHeight="true" outlineLevel="0" collapsed="false">
      <c r="A31" s="4" t="s">
        <v>220</v>
      </c>
      <c r="B31" s="4" t="s">
        <v>221</v>
      </c>
      <c r="C31" s="4" t="s">
        <v>188</v>
      </c>
      <c r="D31" s="4" t="n">
        <v>4</v>
      </c>
      <c r="E31" s="4" t="n">
        <v>11</v>
      </c>
      <c r="F31" s="4" t="n">
        <v>500</v>
      </c>
      <c r="G31" s="6" t="n">
        <f aca="false">F31-E31</f>
        <v>489</v>
      </c>
      <c r="H31" s="23" t="n">
        <v>2.55</v>
      </c>
      <c r="I31" s="24" t="n">
        <f aca="false">IF(H31="","",G31*H31)</f>
        <v>1246.95</v>
      </c>
      <c r="J31" s="25"/>
      <c r="K31" s="26"/>
      <c r="L31" s="26"/>
    </row>
    <row r="32" customFormat="false" ht="15" hidden="false" customHeight="true" outlineLevel="0" collapsed="false">
      <c r="A32" s="4" t="s">
        <v>222</v>
      </c>
      <c r="B32" s="4" t="s">
        <v>223</v>
      </c>
      <c r="C32" s="4" t="s">
        <v>192</v>
      </c>
      <c r="D32" s="4" t="n">
        <v>14</v>
      </c>
      <c r="E32" s="4" t="n">
        <v>756</v>
      </c>
      <c r="F32" s="4" t="n">
        <v>1108</v>
      </c>
      <c r="G32" s="6" t="n">
        <f aca="false">F32-E32</f>
        <v>352</v>
      </c>
      <c r="H32" s="23" t="n">
        <v>3.23</v>
      </c>
      <c r="I32" s="24" t="n">
        <f aca="false">IF(H32="","",G32*H32)</f>
        <v>1136.96</v>
      </c>
      <c r="J32" s="25"/>
      <c r="K32" s="26"/>
      <c r="L32" s="26"/>
    </row>
    <row r="33" customFormat="false" ht="15" hidden="false" customHeight="true" outlineLevel="0" collapsed="false">
      <c r="A33" s="4" t="s">
        <v>224</v>
      </c>
      <c r="B33" s="4" t="s">
        <v>225</v>
      </c>
      <c r="C33" s="4" t="s">
        <v>192</v>
      </c>
      <c r="D33" s="4" t="n">
        <v>12</v>
      </c>
      <c r="E33" s="4" t="n">
        <v>155</v>
      </c>
      <c r="F33" s="4" t="n">
        <v>213</v>
      </c>
      <c r="G33" s="6" t="n">
        <f aca="false">F33-E33</f>
        <v>58</v>
      </c>
      <c r="H33" s="23" t="n">
        <v>18.68</v>
      </c>
      <c r="I33" s="24" t="n">
        <f aca="false">IF(H33="","",G33*H33)</f>
        <v>1083.44</v>
      </c>
      <c r="J33" s="25"/>
      <c r="K33" s="26"/>
      <c r="L33" s="26"/>
    </row>
    <row r="34" customFormat="false" ht="15" hidden="false" customHeight="true" outlineLevel="0" collapsed="false">
      <c r="A34" s="4" t="s">
        <v>226</v>
      </c>
      <c r="B34" s="4" t="s">
        <v>227</v>
      </c>
      <c r="C34" s="4" t="s">
        <v>188</v>
      </c>
      <c r="D34" s="4" t="n">
        <v>13</v>
      </c>
      <c r="E34" s="4" t="n">
        <v>57894</v>
      </c>
      <c r="F34" s="4" t="n">
        <v>60950</v>
      </c>
      <c r="G34" s="6" t="n">
        <f aca="false">F34-E34</f>
        <v>3056</v>
      </c>
      <c r="H34" s="23" t="n">
        <v>0.33</v>
      </c>
      <c r="I34" s="24" t="n">
        <f aca="false">IF(H34="","",G34*H34)</f>
        <v>1008.48</v>
      </c>
      <c r="J34" s="25" t="s">
        <v>189</v>
      </c>
      <c r="K34" s="26"/>
      <c r="L34" s="26"/>
    </row>
    <row r="35" customFormat="false" ht="15" hidden="false" customHeight="true" outlineLevel="0" collapsed="false">
      <c r="A35" s="4" t="s">
        <v>80</v>
      </c>
      <c r="B35" s="4" t="s">
        <v>81</v>
      </c>
      <c r="C35" s="4" t="s">
        <v>192</v>
      </c>
      <c r="D35" s="4" t="n">
        <v>15</v>
      </c>
      <c r="E35" s="4" t="n">
        <v>126</v>
      </c>
      <c r="F35" s="4" t="n">
        <v>200</v>
      </c>
      <c r="G35" s="6" t="n">
        <f aca="false">F35-E35</f>
        <v>74</v>
      </c>
      <c r="H35" s="23" t="n">
        <v>10.23</v>
      </c>
      <c r="I35" s="24" t="n">
        <f aca="false">IF(H35="","",G35*H35)</f>
        <v>757.02</v>
      </c>
      <c r="J35" s="25"/>
      <c r="K35" s="26"/>
      <c r="L35" s="26"/>
    </row>
    <row r="36" customFormat="false" ht="15" hidden="false" customHeight="true" outlineLevel="0" collapsed="false">
      <c r="A36" s="4" t="s">
        <v>228</v>
      </c>
      <c r="B36" s="4" t="s">
        <v>229</v>
      </c>
      <c r="C36" s="4" t="s">
        <v>192</v>
      </c>
      <c r="D36" s="4" t="n">
        <v>8</v>
      </c>
      <c r="E36" s="4" t="n">
        <v>89</v>
      </c>
      <c r="F36" s="4" t="n">
        <v>192</v>
      </c>
      <c r="G36" s="6" t="n">
        <f aca="false">F36-E36</f>
        <v>103</v>
      </c>
      <c r="H36" s="23" t="n">
        <v>7.23</v>
      </c>
      <c r="I36" s="24" t="n">
        <f aca="false">IF(H36="","",G36*H36)</f>
        <v>744.69</v>
      </c>
      <c r="J36" s="25"/>
      <c r="K36" s="26"/>
      <c r="L36" s="26"/>
    </row>
    <row r="37" customFormat="false" ht="15" hidden="false" customHeight="true" outlineLevel="0" collapsed="false">
      <c r="A37" s="4" t="s">
        <v>230</v>
      </c>
      <c r="B37" s="4" t="s">
        <v>231</v>
      </c>
      <c r="C37" s="4" t="s">
        <v>192</v>
      </c>
      <c r="D37" s="4" t="n">
        <v>15</v>
      </c>
      <c r="E37" s="4" t="n">
        <v>342</v>
      </c>
      <c r="F37" s="4" t="n">
        <v>560</v>
      </c>
      <c r="G37" s="6" t="n">
        <f aca="false">F37-E37</f>
        <v>218</v>
      </c>
      <c r="H37" s="23" t="n">
        <v>3.24</v>
      </c>
      <c r="I37" s="24" t="n">
        <f aca="false">IF(H37="","",G37*H37)</f>
        <v>706.32</v>
      </c>
      <c r="J37" s="25"/>
      <c r="K37" s="26"/>
      <c r="L37" s="26"/>
    </row>
    <row r="38" customFormat="false" ht="15" hidden="false" customHeight="true" outlineLevel="0" collapsed="false">
      <c r="A38" s="4" t="s">
        <v>92</v>
      </c>
      <c r="B38" s="4" t="s">
        <v>93</v>
      </c>
      <c r="C38" s="4" t="s">
        <v>192</v>
      </c>
      <c r="D38" s="4" t="n">
        <v>9</v>
      </c>
      <c r="E38" s="4" t="n">
        <v>40</v>
      </c>
      <c r="F38" s="4" t="n">
        <v>100</v>
      </c>
      <c r="G38" s="6" t="n">
        <f aca="false">F38-E38</f>
        <v>60</v>
      </c>
      <c r="H38" s="23" t="n">
        <v>11.51</v>
      </c>
      <c r="I38" s="24" t="n">
        <f aca="false">IF(H38="","",G38*H38)</f>
        <v>690.6</v>
      </c>
      <c r="J38" s="25"/>
      <c r="K38" s="26"/>
      <c r="L38" s="26"/>
    </row>
    <row r="39" customFormat="false" ht="15" hidden="false" customHeight="true" outlineLevel="0" collapsed="false">
      <c r="A39" s="4" t="s">
        <v>76</v>
      </c>
      <c r="B39" s="4" t="s">
        <v>77</v>
      </c>
      <c r="C39" s="4" t="s">
        <v>192</v>
      </c>
      <c r="D39" s="4" t="n">
        <v>6</v>
      </c>
      <c r="E39" s="4" t="n">
        <v>48</v>
      </c>
      <c r="F39" s="4" t="n">
        <v>65</v>
      </c>
      <c r="G39" s="6" t="n">
        <f aca="false">F39-E39</f>
        <v>17</v>
      </c>
      <c r="H39" s="23" t="n">
        <v>38.46</v>
      </c>
      <c r="I39" s="24" t="n">
        <f aca="false">IF(H39="","",G39*H39)</f>
        <v>653.82</v>
      </c>
      <c r="J39" s="25"/>
      <c r="K39" s="26"/>
      <c r="L39" s="26"/>
    </row>
    <row r="40" customFormat="false" ht="15" hidden="false" customHeight="true" outlineLevel="0" collapsed="false">
      <c r="A40" s="4" t="s">
        <v>98</v>
      </c>
      <c r="B40" s="4" t="s">
        <v>99</v>
      </c>
      <c r="C40" s="4" t="s">
        <v>192</v>
      </c>
      <c r="D40" s="4" t="n">
        <v>7</v>
      </c>
      <c r="E40" s="4" t="n">
        <v>52</v>
      </c>
      <c r="F40" s="4" t="n">
        <v>139</v>
      </c>
      <c r="G40" s="6" t="n">
        <f aca="false">F40-E40</f>
        <v>87</v>
      </c>
      <c r="H40" s="23" t="n">
        <v>6.49</v>
      </c>
      <c r="I40" s="24" t="n">
        <f aca="false">IF(H40="","",G40*H40)</f>
        <v>564.63</v>
      </c>
      <c r="J40" s="25"/>
      <c r="K40" s="26"/>
      <c r="L40" s="26"/>
    </row>
    <row r="41" customFormat="false" ht="15" hidden="false" customHeight="true" outlineLevel="0" collapsed="false">
      <c r="A41" s="4" t="s">
        <v>95</v>
      </c>
      <c r="B41" s="4" t="s">
        <v>96</v>
      </c>
      <c r="C41" s="4" t="s">
        <v>192</v>
      </c>
      <c r="D41" s="4" t="n">
        <v>7</v>
      </c>
      <c r="E41" s="4" t="n">
        <v>52</v>
      </c>
      <c r="F41" s="4" t="n">
        <v>120</v>
      </c>
      <c r="G41" s="6" t="n">
        <f aca="false">F41-E41</f>
        <v>68</v>
      </c>
      <c r="H41" s="23" t="n">
        <v>7.91</v>
      </c>
      <c r="I41" s="24" t="n">
        <f aca="false">IF(H41="","",G41*H41)</f>
        <v>537.88</v>
      </c>
      <c r="J41" s="25"/>
      <c r="K41" s="26"/>
      <c r="L41" s="26"/>
    </row>
    <row r="42" customFormat="false" ht="15" hidden="false" customHeight="true" outlineLevel="0" collapsed="false">
      <c r="A42" s="4" t="s">
        <v>232</v>
      </c>
      <c r="B42" s="4" t="s">
        <v>233</v>
      </c>
      <c r="C42" s="4" t="s">
        <v>188</v>
      </c>
      <c r="D42" s="4" t="n">
        <v>12</v>
      </c>
      <c r="E42" s="4" t="n">
        <v>196</v>
      </c>
      <c r="F42" s="4" t="n">
        <v>500</v>
      </c>
      <c r="G42" s="6" t="n">
        <f aca="false">F42-E42</f>
        <v>304</v>
      </c>
      <c r="H42" s="23" t="n">
        <v>1.58</v>
      </c>
      <c r="I42" s="24" t="n">
        <f aca="false">IF(H42="","",G42*H42)</f>
        <v>480.32</v>
      </c>
      <c r="J42" s="25"/>
      <c r="K42" s="26"/>
      <c r="L42" s="26"/>
    </row>
    <row r="43" customFormat="false" ht="15" hidden="false" customHeight="true" outlineLevel="0" collapsed="false">
      <c r="A43" s="4" t="s">
        <v>234</v>
      </c>
      <c r="B43" s="4" t="s">
        <v>235</v>
      </c>
      <c r="C43" s="4" t="s">
        <v>188</v>
      </c>
      <c r="D43" s="4" t="n">
        <v>7</v>
      </c>
      <c r="E43" s="4" t="n">
        <v>680</v>
      </c>
      <c r="F43" s="4" t="n">
        <v>950</v>
      </c>
      <c r="G43" s="6" t="n">
        <f aca="false">F43-E43</f>
        <v>270</v>
      </c>
      <c r="H43" s="23" t="n">
        <v>1.71</v>
      </c>
      <c r="I43" s="24" t="n">
        <f aca="false">IF(H43="","",G43*H43)</f>
        <v>461.7</v>
      </c>
      <c r="J43" s="25" t="s">
        <v>189</v>
      </c>
      <c r="K43" s="26"/>
      <c r="L43" s="26"/>
    </row>
    <row r="44" customFormat="false" ht="15" hidden="false" customHeight="true" outlineLevel="0" collapsed="false">
      <c r="A44" s="4" t="s">
        <v>84</v>
      </c>
      <c r="B44" s="4" t="s">
        <v>85</v>
      </c>
      <c r="C44" s="4" t="s">
        <v>192</v>
      </c>
      <c r="D44" s="4" t="n">
        <v>5</v>
      </c>
      <c r="E44" s="4" t="n">
        <v>84</v>
      </c>
      <c r="F44" s="4" t="n">
        <v>120</v>
      </c>
      <c r="G44" s="6" t="n">
        <f aca="false">F44-E44</f>
        <v>36</v>
      </c>
      <c r="H44" s="23" t="n">
        <v>12.74</v>
      </c>
      <c r="I44" s="24" t="n">
        <f aca="false">IF(H44="","",G44*H44)</f>
        <v>458.64</v>
      </c>
      <c r="J44" s="25"/>
      <c r="K44" s="26"/>
      <c r="L44" s="26"/>
    </row>
    <row r="45" customFormat="false" ht="15" hidden="false" customHeight="true" outlineLevel="0" collapsed="false">
      <c r="A45" s="4" t="s">
        <v>236</v>
      </c>
      <c r="B45" s="4" t="s">
        <v>237</v>
      </c>
      <c r="C45" s="4" t="s">
        <v>192</v>
      </c>
      <c r="D45" s="4" t="n">
        <v>5</v>
      </c>
      <c r="E45" s="4" t="n">
        <v>16</v>
      </c>
      <c r="F45" s="4" t="n">
        <v>24</v>
      </c>
      <c r="G45" s="6" t="n">
        <f aca="false">F45-E45</f>
        <v>8</v>
      </c>
      <c r="H45" s="23" t="n">
        <v>48.96</v>
      </c>
      <c r="I45" s="24" t="n">
        <f aca="false">IF(H45="","",G45*H45)</f>
        <v>391.68</v>
      </c>
      <c r="J45" s="25"/>
      <c r="K45" s="26"/>
      <c r="L45" s="26"/>
    </row>
    <row r="46" customFormat="false" ht="15" hidden="false" customHeight="true" outlineLevel="0" collapsed="false">
      <c r="A46" s="4" t="s">
        <v>238</v>
      </c>
      <c r="B46" s="4" t="s">
        <v>208</v>
      </c>
      <c r="C46" s="4" t="s">
        <v>192</v>
      </c>
      <c r="D46" s="4" t="n">
        <v>10</v>
      </c>
      <c r="E46" s="4" t="n">
        <v>74</v>
      </c>
      <c r="F46" s="4" t="n">
        <v>111</v>
      </c>
      <c r="G46" s="6" t="n">
        <f aca="false">F46-E46</f>
        <v>37</v>
      </c>
      <c r="H46" s="23" t="n">
        <v>9.11</v>
      </c>
      <c r="I46" s="24" t="n">
        <f aca="false">IF(H46="","",G46*H46)</f>
        <v>337.07</v>
      </c>
      <c r="J46" s="25"/>
      <c r="K46" s="26"/>
      <c r="L46" s="26"/>
    </row>
    <row r="47" customFormat="false" ht="15" hidden="false" customHeight="true" outlineLevel="0" collapsed="false">
      <c r="A47" s="4" t="s">
        <v>88</v>
      </c>
      <c r="B47" s="4" t="s">
        <v>89</v>
      </c>
      <c r="C47" s="4" t="s">
        <v>192</v>
      </c>
      <c r="D47" s="4" t="n">
        <v>12</v>
      </c>
      <c r="E47" s="4" t="n">
        <v>344</v>
      </c>
      <c r="F47" s="4" t="n">
        <v>450</v>
      </c>
      <c r="G47" s="6" t="n">
        <f aca="false">F47-E47</f>
        <v>106</v>
      </c>
      <c r="H47" s="23" t="n">
        <v>3.04</v>
      </c>
      <c r="I47" s="24" t="n">
        <f aca="false">IF(H47="","",G47*H47)</f>
        <v>322.24</v>
      </c>
      <c r="J47" s="25"/>
      <c r="K47" s="26"/>
      <c r="L47" s="26"/>
    </row>
    <row r="48" customFormat="false" ht="15" hidden="false" customHeight="true" outlineLevel="0" collapsed="false">
      <c r="A48" s="4" t="s">
        <v>239</v>
      </c>
      <c r="B48" s="4" t="s">
        <v>240</v>
      </c>
      <c r="C48" s="4" t="s">
        <v>192</v>
      </c>
      <c r="D48" s="4" t="n">
        <v>15</v>
      </c>
      <c r="E48" s="4" t="n">
        <v>818</v>
      </c>
      <c r="F48" s="4" t="n">
        <v>835</v>
      </c>
      <c r="G48" s="6" t="n">
        <f aca="false">F48-E48</f>
        <v>17</v>
      </c>
      <c r="H48" s="23" t="n">
        <v>15.28</v>
      </c>
      <c r="I48" s="24" t="n">
        <f aca="false">IF(H48="","",G48*H48)</f>
        <v>259.76</v>
      </c>
      <c r="J48" s="25"/>
      <c r="K48" s="26"/>
      <c r="L48" s="26"/>
    </row>
    <row r="49" customFormat="false" ht="15" hidden="false" customHeight="true" outlineLevel="0" collapsed="false">
      <c r="A49" s="4" t="s">
        <v>102</v>
      </c>
      <c r="B49" s="4" t="s">
        <v>103</v>
      </c>
      <c r="C49" s="4" t="s">
        <v>192</v>
      </c>
      <c r="D49" s="4" t="n">
        <v>3</v>
      </c>
      <c r="E49" s="4" t="n">
        <v>41</v>
      </c>
      <c r="F49" s="4" t="n">
        <v>60</v>
      </c>
      <c r="G49" s="6" t="n">
        <f aca="false">F49-E49</f>
        <v>19</v>
      </c>
      <c r="H49" s="23" t="n">
        <v>12.76</v>
      </c>
      <c r="I49" s="24" t="n">
        <f aca="false">IF(H49="","",G49*H49)</f>
        <v>242.44</v>
      </c>
      <c r="J49" s="25"/>
      <c r="K49" s="26"/>
      <c r="L49" s="26"/>
    </row>
    <row r="50" customFormat="false" ht="15" hidden="false" customHeight="true" outlineLevel="0" collapsed="false">
      <c r="A50" s="4" t="s">
        <v>71</v>
      </c>
      <c r="B50" s="4" t="s">
        <v>72</v>
      </c>
      <c r="C50" s="4" t="s">
        <v>192</v>
      </c>
      <c r="D50" s="4" t="n">
        <v>7</v>
      </c>
      <c r="E50" s="4" t="n">
        <v>126</v>
      </c>
      <c r="F50" s="4" t="n">
        <v>132</v>
      </c>
      <c r="G50" s="6" t="n">
        <f aca="false">F50-E50</f>
        <v>6</v>
      </c>
      <c r="H50" s="23" t="n">
        <v>35.09</v>
      </c>
      <c r="I50" s="24" t="n">
        <f aca="false">IF(H50="","",G50*H50)</f>
        <v>210.54</v>
      </c>
      <c r="J50" s="25"/>
      <c r="K50" s="26"/>
      <c r="L50" s="26"/>
    </row>
    <row r="51" customFormat="false" ht="15" hidden="false" customHeight="true" outlineLevel="0" collapsed="false">
      <c r="A51" s="4" t="s">
        <v>116</v>
      </c>
      <c r="B51" s="4" t="s">
        <v>117</v>
      </c>
      <c r="C51" s="4" t="s">
        <v>192</v>
      </c>
      <c r="D51" s="4" t="n">
        <v>3</v>
      </c>
      <c r="E51" s="4" t="n">
        <v>16</v>
      </c>
      <c r="F51" s="4" t="n">
        <v>30</v>
      </c>
      <c r="G51" s="6" t="n">
        <f aca="false">F51-E51</f>
        <v>14</v>
      </c>
      <c r="H51" s="23" t="n">
        <v>15.01</v>
      </c>
      <c r="I51" s="24" t="n">
        <f aca="false">IF(H51="","",G51*H51)</f>
        <v>210.14</v>
      </c>
      <c r="J51" s="25"/>
      <c r="K51" s="26"/>
      <c r="L51" s="26"/>
    </row>
    <row r="52" customFormat="false" ht="15" hidden="false" customHeight="true" outlineLevel="0" collapsed="false">
      <c r="A52" s="4" t="s">
        <v>241</v>
      </c>
      <c r="B52" s="4" t="s">
        <v>242</v>
      </c>
      <c r="C52" s="4" t="s">
        <v>192</v>
      </c>
      <c r="D52" s="4" t="n">
        <v>7</v>
      </c>
      <c r="E52" s="4" t="n">
        <v>107</v>
      </c>
      <c r="F52" s="4" t="n">
        <v>150</v>
      </c>
      <c r="G52" s="6" t="n">
        <f aca="false">F52-E52</f>
        <v>43</v>
      </c>
      <c r="H52" s="23" t="n">
        <v>4.33</v>
      </c>
      <c r="I52" s="24" t="n">
        <f aca="false">IF(H52="","",G52*H52)</f>
        <v>186.19</v>
      </c>
      <c r="J52" s="25"/>
      <c r="K52" s="26"/>
      <c r="L52" s="26"/>
    </row>
    <row r="53" customFormat="false" ht="15" hidden="false" customHeight="true" outlineLevel="0" collapsed="false">
      <c r="A53" s="4" t="s">
        <v>243</v>
      </c>
      <c r="B53" s="4" t="s">
        <v>244</v>
      </c>
      <c r="C53" s="4" t="s">
        <v>192</v>
      </c>
      <c r="D53" s="4" t="n">
        <v>11</v>
      </c>
      <c r="E53" s="4" t="n">
        <v>176</v>
      </c>
      <c r="F53" s="4" t="n">
        <v>248</v>
      </c>
      <c r="G53" s="6" t="n">
        <f aca="false">F53-E53</f>
        <v>72</v>
      </c>
      <c r="H53" s="23" t="n">
        <v>2.42</v>
      </c>
      <c r="I53" s="24" t="n">
        <f aca="false">IF(H53="","",G53*H53)</f>
        <v>174.24</v>
      </c>
      <c r="J53" s="25"/>
      <c r="K53" s="26"/>
      <c r="L53" s="26"/>
    </row>
    <row r="54" customFormat="false" ht="15" hidden="false" customHeight="true" outlineLevel="0" collapsed="false">
      <c r="A54" s="4" t="s">
        <v>245</v>
      </c>
      <c r="B54" s="4" t="s">
        <v>246</v>
      </c>
      <c r="C54" s="4" t="s">
        <v>192</v>
      </c>
      <c r="D54" s="4" t="n">
        <v>11</v>
      </c>
      <c r="E54" s="4" t="n">
        <v>22</v>
      </c>
      <c r="F54" s="4" t="n">
        <v>94</v>
      </c>
      <c r="G54" s="6" t="n">
        <f aca="false">F54-E54</f>
        <v>72</v>
      </c>
      <c r="H54" s="23" t="n">
        <v>2.32</v>
      </c>
      <c r="I54" s="24" t="n">
        <f aca="false">IF(H54="","",G54*H54)</f>
        <v>167.04</v>
      </c>
      <c r="J54" s="25"/>
      <c r="K54" s="26"/>
      <c r="L54" s="26"/>
    </row>
    <row r="55" customFormat="false" ht="15" hidden="false" customHeight="true" outlineLevel="0" collapsed="false">
      <c r="A55" s="4" t="s">
        <v>110</v>
      </c>
      <c r="B55" s="4" t="s">
        <v>111</v>
      </c>
      <c r="C55" s="4" t="s">
        <v>192</v>
      </c>
      <c r="D55" s="4" t="n">
        <v>5</v>
      </c>
      <c r="E55" s="4" t="n">
        <v>11</v>
      </c>
      <c r="F55" s="4" t="n">
        <v>23</v>
      </c>
      <c r="G55" s="6" t="n">
        <f aca="false">F55-E55</f>
        <v>12</v>
      </c>
      <c r="H55" s="23" t="n">
        <v>13.27</v>
      </c>
      <c r="I55" s="24" t="n">
        <f aca="false">IF(H55="","",G55*H55)</f>
        <v>159.24</v>
      </c>
      <c r="J55" s="25"/>
      <c r="K55" s="26"/>
      <c r="L55" s="26"/>
    </row>
    <row r="56" customFormat="false" ht="15" hidden="false" customHeight="true" outlineLevel="0" collapsed="false">
      <c r="A56" s="4" t="s">
        <v>247</v>
      </c>
      <c r="B56" s="4" t="s">
        <v>248</v>
      </c>
      <c r="C56" s="4" t="s">
        <v>192</v>
      </c>
      <c r="D56" s="4" t="n">
        <v>2</v>
      </c>
      <c r="E56" s="4" t="n">
        <v>29</v>
      </c>
      <c r="F56" s="4" t="n">
        <v>60</v>
      </c>
      <c r="G56" s="6" t="n">
        <f aca="false">F56-E56</f>
        <v>31</v>
      </c>
      <c r="H56" s="23" t="n">
        <v>4.88</v>
      </c>
      <c r="I56" s="24" t="n">
        <f aca="false">IF(H56="","",G56*H56)</f>
        <v>151.28</v>
      </c>
      <c r="J56" s="25"/>
      <c r="K56" s="26"/>
      <c r="L56" s="26"/>
    </row>
    <row r="57" customFormat="false" ht="15" hidden="false" customHeight="true" outlineLevel="0" collapsed="false">
      <c r="A57" s="4" t="s">
        <v>249</v>
      </c>
      <c r="B57" s="4" t="s">
        <v>250</v>
      </c>
      <c r="C57" s="4" t="s">
        <v>192</v>
      </c>
      <c r="D57" s="4" t="n">
        <v>10</v>
      </c>
      <c r="E57" s="4" t="n">
        <v>61</v>
      </c>
      <c r="F57" s="4" t="n">
        <v>127</v>
      </c>
      <c r="G57" s="6" t="n">
        <f aca="false">F57-E57</f>
        <v>66</v>
      </c>
      <c r="H57" s="23" t="n">
        <v>2.29</v>
      </c>
      <c r="I57" s="24" t="n">
        <f aca="false">IF(H57="","",G57*H57)</f>
        <v>151.14</v>
      </c>
      <c r="J57" s="25"/>
      <c r="K57" s="26"/>
      <c r="L57" s="26"/>
    </row>
    <row r="58" customFormat="false" ht="15" hidden="false" customHeight="true" outlineLevel="0" collapsed="false">
      <c r="A58" s="4" t="s">
        <v>74</v>
      </c>
      <c r="B58" s="4" t="s">
        <v>46</v>
      </c>
      <c r="C58" s="4" t="s">
        <v>192</v>
      </c>
      <c r="D58" s="4" t="n">
        <v>8</v>
      </c>
      <c r="E58" s="4" t="n">
        <v>32</v>
      </c>
      <c r="F58" s="4" t="n">
        <v>34</v>
      </c>
      <c r="G58" s="6" t="n">
        <f aca="false">F58-E58</f>
        <v>2</v>
      </c>
      <c r="H58" s="23" t="n">
        <v>74.91</v>
      </c>
      <c r="I58" s="24" t="n">
        <f aca="false">IF(H58="","",G58*H58)</f>
        <v>149.82</v>
      </c>
      <c r="J58" s="25"/>
      <c r="K58" s="26"/>
      <c r="L58" s="26"/>
    </row>
    <row r="59" customFormat="false" ht="15" hidden="false" customHeight="true" outlineLevel="0" collapsed="false">
      <c r="A59" s="4" t="s">
        <v>251</v>
      </c>
      <c r="B59" s="4" t="s">
        <v>252</v>
      </c>
      <c r="C59" s="4" t="s">
        <v>192</v>
      </c>
      <c r="D59" s="4" t="n">
        <v>15</v>
      </c>
      <c r="E59" s="4" t="n">
        <v>2280</v>
      </c>
      <c r="F59" s="4" t="n">
        <v>3086</v>
      </c>
      <c r="G59" s="6" t="n">
        <f aca="false">F59-E59</f>
        <v>806</v>
      </c>
      <c r="H59" s="23" t="n">
        <v>0.17</v>
      </c>
      <c r="I59" s="24" t="n">
        <f aca="false">IF(H59="","",G59*H59)</f>
        <v>137.02</v>
      </c>
      <c r="J59" s="25"/>
      <c r="K59" s="26"/>
      <c r="L59" s="26"/>
    </row>
    <row r="60" customFormat="false" ht="15" hidden="false" customHeight="true" outlineLevel="0" collapsed="false">
      <c r="A60" s="4" t="s">
        <v>253</v>
      </c>
      <c r="B60" s="4" t="s">
        <v>254</v>
      </c>
      <c r="C60" s="4" t="s">
        <v>192</v>
      </c>
      <c r="D60" s="4" t="n">
        <v>15</v>
      </c>
      <c r="E60" s="4" t="n">
        <v>2547</v>
      </c>
      <c r="F60" s="4" t="n">
        <v>3776</v>
      </c>
      <c r="G60" s="6" t="n">
        <f aca="false">F60-E60</f>
        <v>1229</v>
      </c>
      <c r="H60" s="23" t="n">
        <v>0.1</v>
      </c>
      <c r="I60" s="24" t="n">
        <f aca="false">IF(H60="","",G60*H60)</f>
        <v>122.9</v>
      </c>
      <c r="J60" s="25"/>
      <c r="K60" s="26"/>
      <c r="L60" s="26"/>
    </row>
    <row r="61" customFormat="false" ht="15" hidden="false" customHeight="true" outlineLevel="0" collapsed="false">
      <c r="A61" s="4" t="s">
        <v>106</v>
      </c>
      <c r="B61" s="4" t="s">
        <v>107</v>
      </c>
      <c r="C61" s="4" t="s">
        <v>192</v>
      </c>
      <c r="D61" s="4" t="n">
        <v>5</v>
      </c>
      <c r="E61" s="4" t="n">
        <v>4</v>
      </c>
      <c r="F61" s="4" t="n">
        <v>5</v>
      </c>
      <c r="G61" s="6" t="n">
        <f aca="false">F61-E61</f>
        <v>1</v>
      </c>
      <c r="H61" s="23" t="n">
        <v>109.31</v>
      </c>
      <c r="I61" s="24" t="n">
        <f aca="false">IF(H61="","",G61*H61)</f>
        <v>109.31</v>
      </c>
      <c r="J61" s="25"/>
      <c r="K61" s="26"/>
      <c r="L61" s="26"/>
    </row>
    <row r="62" customFormat="false" ht="15" hidden="false" customHeight="true" outlineLevel="0" collapsed="false">
      <c r="A62" s="4" t="s">
        <v>255</v>
      </c>
      <c r="B62" s="4" t="s">
        <v>256</v>
      </c>
      <c r="C62" s="4" t="s">
        <v>192</v>
      </c>
      <c r="D62" s="4" t="n">
        <v>10</v>
      </c>
      <c r="E62" s="4" t="n">
        <v>130</v>
      </c>
      <c r="F62" s="4" t="n">
        <v>161</v>
      </c>
      <c r="G62" s="6" t="n">
        <f aca="false">F62-E62</f>
        <v>31</v>
      </c>
      <c r="H62" s="23" t="n">
        <v>2.88</v>
      </c>
      <c r="I62" s="24" t="n">
        <f aca="false">IF(H62="","",G62*H62)</f>
        <v>89.28</v>
      </c>
      <c r="J62" s="25"/>
      <c r="K62" s="26"/>
      <c r="L62" s="26"/>
    </row>
    <row r="63" customFormat="false" ht="15" hidden="false" customHeight="true" outlineLevel="0" collapsed="false">
      <c r="A63" s="4" t="s">
        <v>257</v>
      </c>
      <c r="B63" s="4" t="s">
        <v>258</v>
      </c>
      <c r="C63" s="4" t="s">
        <v>192</v>
      </c>
      <c r="D63" s="4" t="n">
        <v>8</v>
      </c>
      <c r="E63" s="4" t="n">
        <v>14</v>
      </c>
      <c r="F63" s="4" t="n">
        <v>20</v>
      </c>
      <c r="G63" s="6" t="n">
        <f aca="false">F63-E63</f>
        <v>6</v>
      </c>
      <c r="H63" s="23" t="n">
        <v>14.61</v>
      </c>
      <c r="I63" s="24" t="n">
        <f aca="false">IF(H63="","",G63*H63)</f>
        <v>87.66</v>
      </c>
      <c r="J63" s="25"/>
      <c r="K63" s="26"/>
      <c r="L63" s="26"/>
    </row>
    <row r="64" customFormat="false" ht="15" hidden="false" customHeight="true" outlineLevel="0" collapsed="false">
      <c r="A64" s="4" t="s">
        <v>259</v>
      </c>
      <c r="B64" s="4" t="s">
        <v>260</v>
      </c>
      <c r="C64" s="4" t="s">
        <v>192</v>
      </c>
      <c r="D64" s="4" t="n">
        <v>2</v>
      </c>
      <c r="E64" s="4" t="n">
        <v>6</v>
      </c>
      <c r="F64" s="4" t="n">
        <v>21</v>
      </c>
      <c r="G64" s="6" t="n">
        <f aca="false">F64-E64</f>
        <v>15</v>
      </c>
      <c r="H64" s="23" t="n">
        <v>5.83</v>
      </c>
      <c r="I64" s="24" t="n">
        <f aca="false">IF(H64="","",G64*H64)</f>
        <v>87.45</v>
      </c>
      <c r="J64" s="25"/>
      <c r="K64" s="26"/>
      <c r="L64" s="26"/>
    </row>
    <row r="65" customFormat="false" ht="15" hidden="false" customHeight="true" outlineLevel="0" collapsed="false">
      <c r="A65" s="4" t="s">
        <v>261</v>
      </c>
      <c r="B65" s="4" t="s">
        <v>262</v>
      </c>
      <c r="C65" s="4" t="s">
        <v>192</v>
      </c>
      <c r="D65" s="4" t="n">
        <v>10</v>
      </c>
      <c r="E65" s="4" t="n">
        <v>75</v>
      </c>
      <c r="F65" s="4" t="n">
        <v>125</v>
      </c>
      <c r="G65" s="6" t="n">
        <f aca="false">F65-E65</f>
        <v>50</v>
      </c>
      <c r="H65" s="23" t="n">
        <v>1.73</v>
      </c>
      <c r="I65" s="24" t="n">
        <f aca="false">IF(H65="","",G65*H65)</f>
        <v>86.5</v>
      </c>
      <c r="J65" s="25"/>
      <c r="K65" s="26"/>
      <c r="L65" s="26"/>
    </row>
    <row r="66" customFormat="false" ht="15" hidden="false" customHeight="true" outlineLevel="0" collapsed="false">
      <c r="A66" s="4" t="s">
        <v>263</v>
      </c>
      <c r="B66" s="4" t="s">
        <v>264</v>
      </c>
      <c r="C66" s="4" t="s">
        <v>192</v>
      </c>
      <c r="D66" s="4" t="n">
        <v>7</v>
      </c>
      <c r="E66" s="4" t="n">
        <v>55</v>
      </c>
      <c r="F66" s="4" t="n">
        <v>60</v>
      </c>
      <c r="G66" s="6" t="n">
        <f aca="false">F66-E66</f>
        <v>5</v>
      </c>
      <c r="H66" s="23" t="n">
        <v>11.72</v>
      </c>
      <c r="I66" s="24" t="n">
        <f aca="false">IF(H66="","",G66*H66)</f>
        <v>58.6</v>
      </c>
      <c r="J66" s="25"/>
      <c r="K66" s="26"/>
      <c r="L66" s="26"/>
    </row>
    <row r="67" customFormat="false" ht="15" hidden="false" customHeight="true" outlineLevel="0" collapsed="false">
      <c r="A67" s="4" t="s">
        <v>265</v>
      </c>
      <c r="B67" s="4" t="s">
        <v>266</v>
      </c>
      <c r="C67" s="4" t="s">
        <v>192</v>
      </c>
      <c r="D67" s="4" t="n">
        <v>15</v>
      </c>
      <c r="E67" s="4" t="n">
        <v>327</v>
      </c>
      <c r="F67" s="4" t="n">
        <v>339</v>
      </c>
      <c r="G67" s="6" t="n">
        <f aca="false">F67-E67</f>
        <v>12</v>
      </c>
      <c r="H67" s="23" t="n">
        <v>3.79</v>
      </c>
      <c r="I67" s="24" t="n">
        <f aca="false">IF(H67="","",G67*H67)</f>
        <v>45.48</v>
      </c>
      <c r="J67" s="25"/>
      <c r="K67" s="26"/>
      <c r="L67" s="26"/>
    </row>
    <row r="68" customFormat="false" ht="15" hidden="false" customHeight="true" outlineLevel="0" collapsed="false">
      <c r="A68" s="4" t="s">
        <v>267</v>
      </c>
      <c r="B68" s="4" t="s">
        <v>268</v>
      </c>
      <c r="C68" s="4" t="s">
        <v>192</v>
      </c>
      <c r="D68" s="4" t="n">
        <v>8</v>
      </c>
      <c r="E68" s="4" t="n">
        <v>43</v>
      </c>
      <c r="F68" s="4" t="n">
        <v>62</v>
      </c>
      <c r="G68" s="6" t="n">
        <f aca="false">F68-E68</f>
        <v>19</v>
      </c>
      <c r="H68" s="23" t="n">
        <v>2.31</v>
      </c>
      <c r="I68" s="24" t="n">
        <f aca="false">IF(H68="","",G68*H68)</f>
        <v>43.89</v>
      </c>
      <c r="J68" s="25"/>
      <c r="K68" s="26"/>
      <c r="L68" s="26"/>
    </row>
    <row r="69" customFormat="false" ht="15" hidden="false" customHeight="true" outlineLevel="0" collapsed="false">
      <c r="A69" s="4" t="s">
        <v>269</v>
      </c>
      <c r="B69" s="4" t="s">
        <v>270</v>
      </c>
      <c r="C69" s="4" t="s">
        <v>192</v>
      </c>
      <c r="D69" s="4" t="n">
        <v>10</v>
      </c>
      <c r="E69" s="4" t="n">
        <v>188</v>
      </c>
      <c r="F69" s="4" t="n">
        <v>195</v>
      </c>
      <c r="G69" s="6" t="n">
        <f aca="false">F69-E69</f>
        <v>7</v>
      </c>
      <c r="H69" s="23" t="n">
        <v>5.16</v>
      </c>
      <c r="I69" s="24" t="n">
        <f aca="false">IF(H69="","",G69*H69)</f>
        <v>36.12</v>
      </c>
      <c r="J69" s="25"/>
      <c r="K69" s="26"/>
      <c r="L69" s="26"/>
    </row>
    <row r="70" customFormat="false" ht="15" hidden="false" customHeight="true" outlineLevel="0" collapsed="false">
      <c r="A70" s="4" t="s">
        <v>271</v>
      </c>
      <c r="B70" s="4" t="s">
        <v>272</v>
      </c>
      <c r="C70" s="4" t="s">
        <v>192</v>
      </c>
      <c r="D70" s="4" t="n">
        <v>8</v>
      </c>
      <c r="E70" s="4" t="n">
        <v>70</v>
      </c>
      <c r="F70" s="4" t="n">
        <v>246</v>
      </c>
      <c r="G70" s="6" t="n">
        <f aca="false">F70-E70</f>
        <v>176</v>
      </c>
      <c r="H70" s="23" t="n">
        <v>0.2</v>
      </c>
      <c r="I70" s="24" t="n">
        <f aca="false">IF(H70="","",G70*H70)</f>
        <v>35.2</v>
      </c>
      <c r="J70" s="25"/>
      <c r="K70" s="26"/>
      <c r="L70" s="26"/>
    </row>
    <row r="71" customFormat="false" ht="15" hidden="false" customHeight="true" outlineLevel="0" collapsed="false">
      <c r="A71" s="4" t="s">
        <v>119</v>
      </c>
      <c r="B71" s="4" t="s">
        <v>120</v>
      </c>
      <c r="C71" s="4" t="s">
        <v>192</v>
      </c>
      <c r="D71" s="4" t="n">
        <v>15</v>
      </c>
      <c r="E71" s="4" t="n">
        <v>334</v>
      </c>
      <c r="F71" s="4" t="n">
        <v>380</v>
      </c>
      <c r="G71" s="6" t="n">
        <f aca="false">F71-E71</f>
        <v>46</v>
      </c>
      <c r="H71" s="23" t="n">
        <v>0.75</v>
      </c>
      <c r="I71" s="24" t="n">
        <f aca="false">IF(H71="","",G71*H71)</f>
        <v>34.5</v>
      </c>
      <c r="J71" s="25"/>
      <c r="K71" s="26"/>
      <c r="L71" s="26"/>
    </row>
    <row r="72" customFormat="false" ht="15" hidden="false" customHeight="true" outlineLevel="0" collapsed="false">
      <c r="A72" s="4" t="s">
        <v>273</v>
      </c>
      <c r="B72" s="4" t="s">
        <v>274</v>
      </c>
      <c r="C72" s="4" t="s">
        <v>192</v>
      </c>
      <c r="D72" s="4" t="n">
        <v>2</v>
      </c>
      <c r="E72" s="4" t="n">
        <v>10</v>
      </c>
      <c r="F72" s="4" t="n">
        <v>20</v>
      </c>
      <c r="G72" s="6" t="n">
        <f aca="false">F72-E72</f>
        <v>10</v>
      </c>
      <c r="H72" s="23" t="n">
        <v>3.03</v>
      </c>
      <c r="I72" s="24" t="n">
        <f aca="false">IF(H72="","",G72*H72)</f>
        <v>30.3</v>
      </c>
      <c r="J72" s="25"/>
      <c r="K72" s="26"/>
      <c r="L72" s="26"/>
    </row>
    <row r="73" customFormat="false" ht="15" hidden="false" customHeight="true" outlineLevel="0" collapsed="false">
      <c r="A73" s="4" t="s">
        <v>113</v>
      </c>
      <c r="B73" s="4" t="s">
        <v>114</v>
      </c>
      <c r="C73" s="4" t="s">
        <v>192</v>
      </c>
      <c r="D73" s="4" t="n">
        <v>11</v>
      </c>
      <c r="E73" s="4" t="n">
        <v>165</v>
      </c>
      <c r="F73" s="4" t="n">
        <v>181</v>
      </c>
      <c r="G73" s="6" t="n">
        <f aca="false">F73-E73</f>
        <v>16</v>
      </c>
      <c r="H73" s="23" t="n">
        <v>1.64</v>
      </c>
      <c r="I73" s="24" t="n">
        <f aca="false">IF(H73="","",G73*H73)</f>
        <v>26.24</v>
      </c>
      <c r="J73" s="25"/>
      <c r="K73" s="26"/>
      <c r="L73" s="26"/>
    </row>
    <row r="74" customFormat="false" ht="15" hidden="false" customHeight="true" outlineLevel="0" collapsed="false">
      <c r="A74" s="4" t="s">
        <v>275</v>
      </c>
      <c r="B74" s="4" t="s">
        <v>276</v>
      </c>
      <c r="C74" s="4" t="s">
        <v>192</v>
      </c>
      <c r="D74" s="4" t="n">
        <v>14</v>
      </c>
      <c r="E74" s="4" t="n">
        <v>869</v>
      </c>
      <c r="F74" s="4" t="n">
        <v>993</v>
      </c>
      <c r="G74" s="6" t="n">
        <f aca="false">F74-E74</f>
        <v>124</v>
      </c>
      <c r="H74" s="23" t="n">
        <v>0.17</v>
      </c>
      <c r="I74" s="24" t="n">
        <f aca="false">IF(H74="","",G74*H74)</f>
        <v>21.08</v>
      </c>
      <c r="J74" s="25"/>
      <c r="K74" s="26"/>
      <c r="L74" s="26"/>
    </row>
    <row r="75" customFormat="false" ht="15" hidden="false" customHeight="true" outlineLevel="0" collapsed="false">
      <c r="A75" s="4" t="s">
        <v>277</v>
      </c>
      <c r="B75" s="4" t="s">
        <v>278</v>
      </c>
      <c r="C75" s="4" t="s">
        <v>192</v>
      </c>
      <c r="D75" s="4" t="n">
        <v>15</v>
      </c>
      <c r="E75" s="4" t="n">
        <v>1205</v>
      </c>
      <c r="F75" s="4" t="n">
        <v>1287</v>
      </c>
      <c r="G75" s="6" t="n">
        <f aca="false">F75-E75</f>
        <v>82</v>
      </c>
      <c r="H75" s="23" t="n">
        <v>0.23</v>
      </c>
      <c r="I75" s="24" t="n">
        <f aca="false">IF(H75="","",G75*H75)</f>
        <v>18.86</v>
      </c>
      <c r="J75" s="25"/>
      <c r="K75" s="26"/>
      <c r="L75" s="26"/>
    </row>
    <row r="76" customFormat="false" ht="15" hidden="false" customHeight="true" outlineLevel="0" collapsed="false">
      <c r="A76" s="4" t="s">
        <v>279</v>
      </c>
      <c r="B76" s="4" t="s">
        <v>280</v>
      </c>
      <c r="C76" s="4" t="s">
        <v>192</v>
      </c>
      <c r="D76" s="4" t="n">
        <v>14</v>
      </c>
      <c r="E76" s="4" t="n">
        <v>249</v>
      </c>
      <c r="F76" s="4" t="n">
        <v>251</v>
      </c>
      <c r="G76" s="6" t="n">
        <f aca="false">F76-E76</f>
        <v>2</v>
      </c>
      <c r="H76" s="23" t="n">
        <v>8.13</v>
      </c>
      <c r="I76" s="24" t="n">
        <f aca="false">IF(H76="","",G76*H76)</f>
        <v>16.26</v>
      </c>
      <c r="J76" s="25"/>
      <c r="K76" s="26"/>
      <c r="L76" s="26"/>
    </row>
    <row r="77" customFormat="false" ht="15" hidden="false" customHeight="true" outlineLevel="0" collapsed="false">
      <c r="A77" s="4" t="s">
        <v>281</v>
      </c>
      <c r="B77" s="4" t="s">
        <v>282</v>
      </c>
      <c r="C77" s="4" t="s">
        <v>192</v>
      </c>
      <c r="D77" s="4" t="n">
        <v>10</v>
      </c>
      <c r="E77" s="4" t="n">
        <v>86</v>
      </c>
      <c r="F77" s="4" t="n">
        <v>100</v>
      </c>
      <c r="G77" s="6" t="n">
        <f aca="false">F77-E77</f>
        <v>14</v>
      </c>
      <c r="H77" s="23" t="n">
        <v>0.92</v>
      </c>
      <c r="I77" s="24" t="n">
        <f aca="false">IF(H77="","",G77*H77)</f>
        <v>12.88</v>
      </c>
      <c r="J77" s="25"/>
      <c r="K77" s="26"/>
      <c r="L77" s="26"/>
    </row>
    <row r="78" customFormat="false" ht="15" hidden="false" customHeight="true" outlineLevel="0" collapsed="false">
      <c r="A78" s="4" t="s">
        <v>283</v>
      </c>
      <c r="B78" s="4" t="s">
        <v>284</v>
      </c>
      <c r="C78" s="4" t="s">
        <v>192</v>
      </c>
      <c r="D78" s="4" t="n">
        <v>6</v>
      </c>
      <c r="E78" s="4" t="n">
        <v>18</v>
      </c>
      <c r="F78" s="4" t="n">
        <v>31</v>
      </c>
      <c r="G78" s="6" t="n">
        <f aca="false">F78-E78</f>
        <v>13</v>
      </c>
      <c r="H78" s="23" t="n">
        <v>0.77</v>
      </c>
      <c r="I78" s="24" t="n">
        <f aca="false">IF(H78="","",G78*H78)</f>
        <v>10.01</v>
      </c>
      <c r="J78" s="25"/>
      <c r="K78" s="26"/>
      <c r="L78" s="26"/>
    </row>
    <row r="79" customFormat="false" ht="15" hidden="false" customHeight="true" outlineLevel="0" collapsed="false">
      <c r="A79" s="4" t="s">
        <v>285</v>
      </c>
      <c r="B79" s="4" t="s">
        <v>286</v>
      </c>
      <c r="C79" s="4" t="s">
        <v>192</v>
      </c>
      <c r="D79" s="4" t="n">
        <v>1</v>
      </c>
      <c r="E79" s="4" t="n">
        <v>1</v>
      </c>
      <c r="F79" s="4" t="n">
        <v>3</v>
      </c>
      <c r="G79" s="6" t="n">
        <f aca="false">F79-E79</f>
        <v>2</v>
      </c>
      <c r="H79" s="23" t="n">
        <v>4.97</v>
      </c>
      <c r="I79" s="24" t="n">
        <f aca="false">IF(H79="","",G79*H79)</f>
        <v>9.94</v>
      </c>
      <c r="J79" s="25"/>
      <c r="K79" s="26"/>
      <c r="L79" s="26"/>
    </row>
    <row r="80" customFormat="false" ht="15" hidden="false" customHeight="true" outlineLevel="0" collapsed="false">
      <c r="A80" s="4" t="s">
        <v>287</v>
      </c>
      <c r="B80" s="4" t="s">
        <v>288</v>
      </c>
      <c r="C80" s="4" t="s">
        <v>192</v>
      </c>
      <c r="D80" s="4" t="n">
        <v>10</v>
      </c>
      <c r="E80" s="4" t="n">
        <v>101</v>
      </c>
      <c r="F80" s="4" t="n">
        <v>118</v>
      </c>
      <c r="G80" s="6" t="n">
        <f aca="false">F80-E80</f>
        <v>17</v>
      </c>
      <c r="H80" s="23" t="n">
        <v>0.38</v>
      </c>
      <c r="I80" s="24" t="n">
        <f aca="false">IF(H80="","",G80*H80)</f>
        <v>6.46</v>
      </c>
      <c r="J80" s="25"/>
      <c r="K80" s="26"/>
      <c r="L80" s="26"/>
    </row>
    <row r="81" customFormat="false" ht="15" hidden="false" customHeight="true" outlineLevel="0" collapsed="false">
      <c r="A81" s="4" t="s">
        <v>289</v>
      </c>
      <c r="B81" s="4" t="s">
        <v>290</v>
      </c>
      <c r="C81" s="4" t="s">
        <v>192</v>
      </c>
      <c r="D81" s="4" t="n">
        <v>2</v>
      </c>
      <c r="E81" s="4" t="n">
        <v>3</v>
      </c>
      <c r="F81" s="4" t="n">
        <v>4</v>
      </c>
      <c r="G81" s="6" t="n">
        <f aca="false">F81-E81</f>
        <v>1</v>
      </c>
      <c r="H81" s="23" t="n">
        <v>3.53</v>
      </c>
      <c r="I81" s="24" t="n">
        <f aca="false">IF(H81="","",G81*H81)</f>
        <v>3.53</v>
      </c>
      <c r="J81" s="25"/>
      <c r="K81" s="26"/>
      <c r="L81" s="26"/>
    </row>
    <row r="82" customFormat="false" ht="15" hidden="false" customHeight="true" outlineLevel="0" collapsed="false">
      <c r="A82" s="4" t="s">
        <v>291</v>
      </c>
      <c r="B82" s="4" t="s">
        <v>292</v>
      </c>
      <c r="C82" s="4" t="s">
        <v>192</v>
      </c>
      <c r="D82" s="4" t="n">
        <v>1</v>
      </c>
      <c r="E82" s="4" t="n">
        <v>8</v>
      </c>
      <c r="F82" s="4" t="n">
        <v>30</v>
      </c>
      <c r="G82" s="6" t="n">
        <f aca="false">F82-E82</f>
        <v>22</v>
      </c>
      <c r="H82" s="23" t="n">
        <v>0.13</v>
      </c>
      <c r="I82" s="24" t="n">
        <f aca="false">IF(H82="","",G82*H82)</f>
        <v>2.86</v>
      </c>
      <c r="J82" s="25"/>
      <c r="K82" s="26"/>
      <c r="L82" s="26"/>
    </row>
    <row r="83" customFormat="false" ht="15" hidden="false" customHeight="true" outlineLevel="0" collapsed="false">
      <c r="A83" s="4" t="s">
        <v>293</v>
      </c>
      <c r="B83" s="4" t="s">
        <v>294</v>
      </c>
      <c r="C83" s="4" t="s">
        <v>192</v>
      </c>
      <c r="D83" s="4" t="n">
        <v>15</v>
      </c>
      <c r="E83" s="4" t="n">
        <v>196</v>
      </c>
      <c r="F83" s="4" t="n">
        <v>200</v>
      </c>
      <c r="G83" s="6" t="n">
        <f aca="false">F83-E83</f>
        <v>4</v>
      </c>
      <c r="H83" s="23" t="n">
        <v>0.66</v>
      </c>
      <c r="I83" s="24" t="n">
        <f aca="false">IF(H83="","",G83*H83)</f>
        <v>2.64</v>
      </c>
      <c r="J83" s="25"/>
      <c r="K83" s="26"/>
      <c r="L83" s="26"/>
    </row>
    <row r="84" customFormat="false" ht="15" hidden="false" customHeight="true" outlineLevel="0" collapsed="false">
      <c r="A84" s="4" t="s">
        <v>295</v>
      </c>
      <c r="B84" s="4" t="s">
        <v>296</v>
      </c>
      <c r="C84" s="4" t="s">
        <v>192</v>
      </c>
      <c r="D84" s="4" t="n">
        <v>15</v>
      </c>
      <c r="E84" s="4" t="n">
        <v>516</v>
      </c>
      <c r="F84" s="4" t="n">
        <v>517</v>
      </c>
      <c r="G84" s="6" t="n">
        <f aca="false">F84-E84</f>
        <v>1</v>
      </c>
      <c r="H84" s="23" t="n">
        <v>1.48</v>
      </c>
      <c r="I84" s="24" t="n">
        <f aca="false">IF(H84="","",G84*H84)</f>
        <v>1.48</v>
      </c>
      <c r="J84" s="25"/>
      <c r="K84" s="26"/>
      <c r="L84" s="26"/>
    </row>
    <row r="85" customFormat="false" ht="15" hidden="false" customHeight="true" outlineLevel="0" collapsed="false">
      <c r="A85" s="4" t="s">
        <v>297</v>
      </c>
      <c r="B85" s="4" t="s">
        <v>298</v>
      </c>
      <c r="C85" s="4" t="s">
        <v>192</v>
      </c>
      <c r="D85" s="4" t="n">
        <v>14</v>
      </c>
      <c r="E85" s="4" t="n">
        <v>0</v>
      </c>
      <c r="F85" s="4" t="n">
        <v>178</v>
      </c>
      <c r="G85" s="6" t="n">
        <f aca="false">F85-E85</f>
        <v>178</v>
      </c>
      <c r="H85" s="23"/>
      <c r="I85" s="24" t="str">
        <f aca="false">IF(H85="","",G85*H85)</f>
        <v/>
      </c>
      <c r="J85" s="25"/>
      <c r="K85" s="26"/>
      <c r="L85" s="26"/>
    </row>
    <row r="86" customFormat="false" ht="15" hidden="false" customHeight="true" outlineLevel="0" collapsed="false">
      <c r="A86" s="4" t="s">
        <v>122</v>
      </c>
      <c r="B86" s="4" t="s">
        <v>123</v>
      </c>
      <c r="C86" s="4" t="s">
        <v>192</v>
      </c>
      <c r="D86" s="4" t="n">
        <v>9</v>
      </c>
      <c r="E86" s="4" t="n">
        <v>0</v>
      </c>
      <c r="F86" s="4" t="n">
        <v>360</v>
      </c>
      <c r="G86" s="6" t="n">
        <f aca="false">F86-E86</f>
        <v>360</v>
      </c>
      <c r="H86" s="23"/>
      <c r="I86" s="24" t="str">
        <f aca="false">IF(H86="","",G86*H86)</f>
        <v/>
      </c>
      <c r="J86" s="25"/>
      <c r="K86" s="26"/>
      <c r="L86" s="26"/>
    </row>
    <row r="87" customFormat="false" ht="15" hidden="false" customHeight="true" outlineLevel="0" collapsed="false">
      <c r="A87" s="4" t="s">
        <v>299</v>
      </c>
      <c r="B87" s="4" t="s">
        <v>300</v>
      </c>
      <c r="C87" s="4" t="s">
        <v>192</v>
      </c>
      <c r="D87" s="4" t="n">
        <v>8</v>
      </c>
      <c r="E87" s="4" t="n">
        <v>0</v>
      </c>
      <c r="F87" s="4" t="n">
        <v>100</v>
      </c>
      <c r="G87" s="6" t="n">
        <f aca="false">F87-E87</f>
        <v>100</v>
      </c>
      <c r="H87" s="23"/>
      <c r="I87" s="24" t="str">
        <f aca="false">IF(H87="","",G87*H87)</f>
        <v/>
      </c>
      <c r="J87" s="25"/>
      <c r="K87" s="26"/>
      <c r="L87" s="26"/>
    </row>
    <row r="88" customFormat="false" ht="15" hidden="false" customHeight="true" outlineLevel="0" collapsed="false">
      <c r="A88" s="4" t="s">
        <v>301</v>
      </c>
      <c r="B88" s="4" t="s">
        <v>302</v>
      </c>
      <c r="C88" s="4" t="s">
        <v>192</v>
      </c>
      <c r="D88" s="4" t="n">
        <v>7</v>
      </c>
      <c r="E88" s="4" t="n">
        <v>0</v>
      </c>
      <c r="F88" s="4" t="n">
        <v>139</v>
      </c>
      <c r="G88" s="6" t="n">
        <f aca="false">F88-E88</f>
        <v>139</v>
      </c>
      <c r="H88" s="23"/>
      <c r="I88" s="24" t="str">
        <f aca="false">IF(H88="","",G88*H88)</f>
        <v/>
      </c>
      <c r="J88" s="25"/>
      <c r="K88" s="26"/>
      <c r="L88" s="26"/>
    </row>
    <row r="89" customFormat="false" ht="15" hidden="false" customHeight="true" outlineLevel="0" collapsed="false">
      <c r="A89" s="4" t="s">
        <v>303</v>
      </c>
      <c r="B89" s="4" t="s">
        <v>304</v>
      </c>
      <c r="C89" s="4" t="s">
        <v>192</v>
      </c>
      <c r="D89" s="4" t="n">
        <v>6</v>
      </c>
      <c r="E89" s="4" t="n">
        <v>0</v>
      </c>
      <c r="F89" s="4" t="n">
        <v>80</v>
      </c>
      <c r="G89" s="6" t="n">
        <f aca="false">F89-E89</f>
        <v>80</v>
      </c>
      <c r="H89" s="23"/>
      <c r="I89" s="24" t="str">
        <f aca="false">IF(H89="","",G89*H89)</f>
        <v/>
      </c>
      <c r="J89" s="25"/>
      <c r="K89" s="26"/>
      <c r="L89" s="26"/>
    </row>
    <row r="90" customFormat="false" ht="15" hidden="false" customHeight="true" outlineLevel="0" collapsed="false">
      <c r="A90" s="4" t="s">
        <v>126</v>
      </c>
      <c r="B90" s="4" t="s">
        <v>127</v>
      </c>
      <c r="C90" s="4" t="s">
        <v>192</v>
      </c>
      <c r="D90" s="4" t="n">
        <v>4</v>
      </c>
      <c r="E90" s="4" t="n">
        <v>0</v>
      </c>
      <c r="F90" s="4" t="n">
        <v>260</v>
      </c>
      <c r="G90" s="6" t="n">
        <f aca="false">F90-E90</f>
        <v>260</v>
      </c>
      <c r="H90" s="23"/>
      <c r="I90" s="24" t="str">
        <f aca="false">IF(H90="","",G90*H90)</f>
        <v/>
      </c>
      <c r="J90" s="25"/>
      <c r="K90" s="26"/>
      <c r="L90" s="26"/>
    </row>
    <row r="91" customFormat="false" ht="15" hidden="false" customHeight="true" outlineLevel="0" collapsed="false">
      <c r="A91" s="4" t="s">
        <v>305</v>
      </c>
      <c r="B91" s="4" t="s">
        <v>306</v>
      </c>
      <c r="C91" s="4" t="s">
        <v>192</v>
      </c>
      <c r="D91" s="4" t="n">
        <v>2</v>
      </c>
      <c r="E91" s="4" t="n">
        <v>0</v>
      </c>
      <c r="F91" s="4" t="n">
        <v>11</v>
      </c>
      <c r="G91" s="6" t="n">
        <f aca="false">F91-E91</f>
        <v>11</v>
      </c>
      <c r="H91" s="23"/>
      <c r="I91" s="24" t="str">
        <f aca="false">IF(H91="","",G91*H91)</f>
        <v/>
      </c>
      <c r="J91" s="25"/>
      <c r="K91" s="26"/>
      <c r="L91" s="26"/>
    </row>
    <row r="92" customFormat="false" ht="15" hidden="false" customHeight="true" outlineLevel="0" collapsed="false">
      <c r="A92" s="4" t="s">
        <v>307</v>
      </c>
      <c r="B92" s="4" t="s">
        <v>308</v>
      </c>
      <c r="C92" s="4" t="s">
        <v>192</v>
      </c>
      <c r="D92" s="4" t="n">
        <v>2</v>
      </c>
      <c r="E92" s="4" t="n">
        <v>0</v>
      </c>
      <c r="F92" s="4" t="n">
        <v>10</v>
      </c>
      <c r="G92" s="6" t="n">
        <f aca="false">F92-E92</f>
        <v>10</v>
      </c>
      <c r="H92" s="23"/>
      <c r="I92" s="24" t="str">
        <f aca="false">IF(H92="","",G92*H92)</f>
        <v/>
      </c>
      <c r="J92" s="25"/>
      <c r="K92" s="26"/>
      <c r="L92" s="26"/>
    </row>
    <row r="93" customFormat="false" ht="15" hidden="false" customHeight="true" outlineLevel="0" collapsed="false">
      <c r="A93" s="4" t="s">
        <v>309</v>
      </c>
      <c r="B93" s="4" t="s">
        <v>310</v>
      </c>
      <c r="C93" s="4" t="s">
        <v>192</v>
      </c>
      <c r="D93" s="4" t="n">
        <v>1</v>
      </c>
      <c r="E93" s="4" t="n">
        <v>0</v>
      </c>
      <c r="F93" s="4" t="n">
        <v>10</v>
      </c>
      <c r="G93" s="6" t="n">
        <f aca="false">F93-E93</f>
        <v>10</v>
      </c>
      <c r="H93" s="23"/>
      <c r="I93" s="24" t="str">
        <f aca="false">IF(H93="","",G93*H93)</f>
        <v/>
      </c>
      <c r="J93" s="25"/>
      <c r="K93" s="26"/>
      <c r="L93" s="26"/>
    </row>
    <row r="94" customFormat="false" ht="15" hidden="false" customHeight="true" outlineLevel="0" collapsed="false">
      <c r="A94" s="4" t="s">
        <v>311</v>
      </c>
      <c r="B94" s="4" t="s">
        <v>312</v>
      </c>
      <c r="C94" s="4" t="s">
        <v>192</v>
      </c>
      <c r="D94" s="4" t="n">
        <v>1</v>
      </c>
      <c r="E94" s="4" t="n">
        <v>0</v>
      </c>
      <c r="F94" s="4" t="n">
        <v>10</v>
      </c>
      <c r="G94" s="6" t="n">
        <f aca="false">F94-E94</f>
        <v>10</v>
      </c>
      <c r="H94" s="23"/>
      <c r="I94" s="24" t="str">
        <f aca="false">IF(H94="","",G94*H94)</f>
        <v/>
      </c>
      <c r="J94" s="25"/>
      <c r="K94" s="26"/>
      <c r="L94" s="26"/>
    </row>
    <row r="95" customFormat="false" ht="15" hidden="false" customHeight="true" outlineLevel="0" collapsed="false">
      <c r="A95" s="4" t="s">
        <v>130</v>
      </c>
      <c r="B95" s="4" t="s">
        <v>131</v>
      </c>
      <c r="C95" s="4" t="s">
        <v>192</v>
      </c>
      <c r="D95" s="4" t="n">
        <v>1</v>
      </c>
      <c r="E95" s="4" t="n">
        <v>0</v>
      </c>
      <c r="F95" s="4" t="n">
        <v>3</v>
      </c>
      <c r="G95" s="6" t="n">
        <f aca="false">F95-E95</f>
        <v>3</v>
      </c>
      <c r="H95" s="23"/>
      <c r="I95" s="24" t="str">
        <f aca="false">IF(H95="","",G95*H95)</f>
        <v/>
      </c>
      <c r="J95" s="25"/>
      <c r="K95" s="26"/>
      <c r="L95" s="26"/>
    </row>
    <row r="96" customFormat="false" ht="15" hidden="false" customHeight="true" outlineLevel="0" collapsed="false">
      <c r="B96" s="6" t="s">
        <v>313</v>
      </c>
      <c r="I96" s="27" t="n">
        <f aca="false">SUM(I5:I95)</f>
        <v>248901.880019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93939"/>
    <pageSetUpPr fitToPage="fals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6"/>
    <col collapsed="false" customWidth="true" hidden="false" outlineLevel="0" max="3" min="3" style="1" width="7"/>
    <col collapsed="false" customWidth="true" hidden="false" outlineLevel="0" max="4" min="4" style="1" width="6"/>
    <col collapsed="false" customWidth="true" hidden="false" outlineLevel="0" max="7" min="5" style="1" width="11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8"/>
    <col collapsed="false" customWidth="true" hidden="false" outlineLevel="0" max="11" min="11" style="1" width="13"/>
    <col collapsed="false" customWidth="true" hidden="false" outlineLevel="0" max="12" min="12" style="1" width="26"/>
  </cols>
  <sheetData>
    <row r="1" customFormat="false" ht="15" hidden="false" customHeight="true" outlineLevel="0" collapsed="false">
      <c r="A1" s="21" t="s">
        <v>314</v>
      </c>
    </row>
    <row r="2" customFormat="false" ht="15" hidden="false" customHeight="true" outlineLevel="0" collapsed="false">
      <c r="A2" s="22" t="s">
        <v>315</v>
      </c>
    </row>
    <row r="4" customFormat="false" ht="23.25" hidden="false" customHeight="true" outlineLevel="0" collapsed="false">
      <c r="A4" s="10" t="s">
        <v>28</v>
      </c>
      <c r="B4" s="10" t="s">
        <v>29</v>
      </c>
      <c r="C4" s="10" t="s">
        <v>176</v>
      </c>
      <c r="D4" s="10" t="s">
        <v>177</v>
      </c>
      <c r="E4" s="10" t="s">
        <v>178</v>
      </c>
      <c r="F4" s="10" t="s">
        <v>179</v>
      </c>
      <c r="G4" s="10" t="s">
        <v>316</v>
      </c>
      <c r="H4" s="10" t="s">
        <v>181</v>
      </c>
      <c r="I4" s="10" t="s">
        <v>317</v>
      </c>
      <c r="J4" s="10" t="s">
        <v>183</v>
      </c>
      <c r="K4" s="10" t="s">
        <v>184</v>
      </c>
      <c r="L4" s="10" t="s">
        <v>185</v>
      </c>
    </row>
    <row r="5" customFormat="false" ht="15" hidden="false" customHeight="true" outlineLevel="0" collapsed="false">
      <c r="A5" s="4" t="s">
        <v>153</v>
      </c>
      <c r="B5" s="4" t="s">
        <v>154</v>
      </c>
      <c r="C5" s="4" t="s">
        <v>192</v>
      </c>
      <c r="D5" s="4" t="n">
        <v>10</v>
      </c>
      <c r="E5" s="4" t="n">
        <v>100</v>
      </c>
      <c r="F5" s="4" t="n">
        <v>44</v>
      </c>
      <c r="G5" s="6" t="n">
        <f aca="false">E5-F5</f>
        <v>56</v>
      </c>
      <c r="H5" s="23" t="n">
        <v>229.42</v>
      </c>
      <c r="I5" s="24" t="n">
        <f aca="false">IF(H5="","",G5*H5)</f>
        <v>12847.52</v>
      </c>
      <c r="J5" s="25"/>
      <c r="K5" s="26"/>
      <c r="L5" s="26"/>
    </row>
    <row r="6" customFormat="false" ht="15" hidden="false" customHeight="true" outlineLevel="0" collapsed="false">
      <c r="A6" s="4" t="s">
        <v>155</v>
      </c>
      <c r="B6" s="4" t="s">
        <v>38</v>
      </c>
      <c r="C6" s="4" t="s">
        <v>192</v>
      </c>
      <c r="D6" s="4" t="n">
        <v>9</v>
      </c>
      <c r="E6" s="4" t="n">
        <v>28</v>
      </c>
      <c r="F6" s="4" t="n">
        <v>26</v>
      </c>
      <c r="G6" s="6" t="n">
        <f aca="false">E6-F6</f>
        <v>2</v>
      </c>
      <c r="H6" s="23" t="n">
        <v>5305.91</v>
      </c>
      <c r="I6" s="24" t="n">
        <f aca="false">IF(H6="","",G6*H6)</f>
        <v>10611.82</v>
      </c>
      <c r="J6" s="25" t="s">
        <v>189</v>
      </c>
      <c r="K6" s="26"/>
      <c r="L6" s="26"/>
    </row>
    <row r="7" customFormat="false" ht="15" hidden="false" customHeight="true" outlineLevel="0" collapsed="false">
      <c r="A7" s="4" t="s">
        <v>318</v>
      </c>
      <c r="B7" s="4" t="s">
        <v>319</v>
      </c>
      <c r="C7" s="4" t="s">
        <v>188</v>
      </c>
      <c r="D7" s="4" t="n">
        <v>15</v>
      </c>
      <c r="E7" s="4" t="n">
        <v>12141</v>
      </c>
      <c r="F7" s="4" t="n">
        <v>2307.1667</v>
      </c>
      <c r="G7" s="6" t="n">
        <f aca="false">E7-F7</f>
        <v>9833.8333</v>
      </c>
      <c r="H7" s="23" t="n">
        <v>0.74</v>
      </c>
      <c r="I7" s="24" t="n">
        <f aca="false">IF(H7="","",G7*H7)</f>
        <v>7277.036642</v>
      </c>
      <c r="J7" s="25" t="s">
        <v>189</v>
      </c>
      <c r="K7" s="26"/>
      <c r="L7" s="26"/>
    </row>
    <row r="8" customFormat="false" ht="15" hidden="false" customHeight="true" outlineLevel="0" collapsed="false">
      <c r="A8" s="4" t="s">
        <v>320</v>
      </c>
      <c r="B8" s="4" t="s">
        <v>321</v>
      </c>
      <c r="C8" s="4" t="s">
        <v>192</v>
      </c>
      <c r="D8" s="4" t="n">
        <v>5</v>
      </c>
      <c r="E8" s="4" t="n">
        <v>11</v>
      </c>
      <c r="F8" s="4" t="n">
        <v>7</v>
      </c>
      <c r="G8" s="6" t="n">
        <f aca="false">E8-F8</f>
        <v>4</v>
      </c>
      <c r="H8" s="23" t="n">
        <v>1372.77</v>
      </c>
      <c r="I8" s="24" t="n">
        <f aca="false">IF(H8="","",G8*H8)</f>
        <v>5491.08</v>
      </c>
      <c r="J8" s="25" t="s">
        <v>189</v>
      </c>
      <c r="K8" s="26"/>
      <c r="L8" s="26"/>
    </row>
    <row r="9" customFormat="false" ht="15" hidden="false" customHeight="true" outlineLevel="0" collapsed="false">
      <c r="A9" s="4" t="s">
        <v>322</v>
      </c>
      <c r="B9" s="4" t="s">
        <v>323</v>
      </c>
      <c r="C9" s="4" t="s">
        <v>188</v>
      </c>
      <c r="D9" s="4" t="n">
        <v>13</v>
      </c>
      <c r="E9" s="4" t="n">
        <v>12328</v>
      </c>
      <c r="F9" s="4" t="n">
        <v>7000</v>
      </c>
      <c r="G9" s="6" t="n">
        <f aca="false">E9-F9</f>
        <v>5328</v>
      </c>
      <c r="H9" s="23" t="n">
        <v>0.84</v>
      </c>
      <c r="I9" s="24" t="n">
        <f aca="false">IF(H9="","",G9*H9)</f>
        <v>4475.52</v>
      </c>
      <c r="J9" s="25" t="s">
        <v>189</v>
      </c>
      <c r="K9" s="26"/>
      <c r="L9" s="26"/>
    </row>
    <row r="10" customFormat="false" ht="15" hidden="false" customHeight="true" outlineLevel="0" collapsed="false">
      <c r="A10" s="4" t="s">
        <v>324</v>
      </c>
      <c r="B10" s="4" t="s">
        <v>325</v>
      </c>
      <c r="C10" s="4" t="s">
        <v>192</v>
      </c>
      <c r="D10" s="4" t="n">
        <v>5</v>
      </c>
      <c r="E10" s="4" t="n">
        <v>15</v>
      </c>
      <c r="F10" s="4" t="n">
        <v>11</v>
      </c>
      <c r="G10" s="6" t="n">
        <f aca="false">E10-F10</f>
        <v>4</v>
      </c>
      <c r="H10" s="23" t="n">
        <v>860</v>
      </c>
      <c r="I10" s="24" t="n">
        <f aca="false">IF(H10="","",G10*H10)</f>
        <v>3440</v>
      </c>
      <c r="J10" s="25" t="s">
        <v>189</v>
      </c>
      <c r="K10" s="26"/>
      <c r="L10" s="26"/>
    </row>
    <row r="11" customFormat="false" ht="15" hidden="false" customHeight="true" outlineLevel="0" collapsed="false">
      <c r="A11" s="4" t="s">
        <v>326</v>
      </c>
      <c r="B11" s="4" t="s">
        <v>327</v>
      </c>
      <c r="C11" s="4" t="s">
        <v>192</v>
      </c>
      <c r="D11" s="4" t="n">
        <v>13</v>
      </c>
      <c r="E11" s="4" t="n">
        <v>747</v>
      </c>
      <c r="F11" s="4" t="n">
        <v>514</v>
      </c>
      <c r="G11" s="6" t="n">
        <f aca="false">E11-F11</f>
        <v>233</v>
      </c>
      <c r="H11" s="23" t="n">
        <v>10.5</v>
      </c>
      <c r="I11" s="24" t="n">
        <f aca="false">IF(H11="","",G11*H11)</f>
        <v>2446.5</v>
      </c>
      <c r="J11" s="25"/>
      <c r="K11" s="26"/>
      <c r="L11" s="26"/>
    </row>
    <row r="12" customFormat="false" ht="15" hidden="false" customHeight="true" outlineLevel="0" collapsed="false">
      <c r="A12" s="4" t="s">
        <v>328</v>
      </c>
      <c r="B12" s="4" t="s">
        <v>329</v>
      </c>
      <c r="C12" s="4" t="s">
        <v>192</v>
      </c>
      <c r="D12" s="4" t="n">
        <v>14</v>
      </c>
      <c r="E12" s="4" t="n">
        <v>505</v>
      </c>
      <c r="F12" s="4" t="n">
        <v>402</v>
      </c>
      <c r="G12" s="6" t="n">
        <f aca="false">E12-F12</f>
        <v>103</v>
      </c>
      <c r="H12" s="23" t="n">
        <v>21.7</v>
      </c>
      <c r="I12" s="24" t="n">
        <f aca="false">IF(H12="","",G12*H12)</f>
        <v>2235.1</v>
      </c>
      <c r="J12" s="25"/>
      <c r="K12" s="26"/>
      <c r="L12" s="26"/>
    </row>
    <row r="13" customFormat="false" ht="15" hidden="false" customHeight="true" outlineLevel="0" collapsed="false">
      <c r="A13" s="4" t="s">
        <v>330</v>
      </c>
      <c r="B13" s="4" t="s">
        <v>331</v>
      </c>
      <c r="C13" s="4" t="s">
        <v>192</v>
      </c>
      <c r="D13" s="4" t="n">
        <v>14</v>
      </c>
      <c r="E13" s="4" t="n">
        <v>374</v>
      </c>
      <c r="F13" s="4" t="n">
        <v>169</v>
      </c>
      <c r="G13" s="6" t="n">
        <f aca="false">E13-F13</f>
        <v>205</v>
      </c>
      <c r="H13" s="23" t="n">
        <v>8.05</v>
      </c>
      <c r="I13" s="24" t="n">
        <f aca="false">IF(H13="","",G13*H13)</f>
        <v>1650.25</v>
      </c>
      <c r="J13" s="25"/>
      <c r="K13" s="26"/>
      <c r="L13" s="26"/>
    </row>
    <row r="14" customFormat="false" ht="15" hidden="false" customHeight="true" outlineLevel="0" collapsed="false">
      <c r="A14" s="4" t="s">
        <v>148</v>
      </c>
      <c r="B14" s="4" t="s">
        <v>149</v>
      </c>
      <c r="C14" s="4" t="s">
        <v>192</v>
      </c>
      <c r="D14" s="4" t="n">
        <v>11</v>
      </c>
      <c r="E14" s="4" t="n">
        <v>190</v>
      </c>
      <c r="F14" s="4" t="n">
        <v>50</v>
      </c>
      <c r="G14" s="6" t="n">
        <f aca="false">E14-F14</f>
        <v>140</v>
      </c>
      <c r="H14" s="23" t="n">
        <v>9.71</v>
      </c>
      <c r="I14" s="24" t="n">
        <f aca="false">IF(H14="","",G14*H14)</f>
        <v>1359.4</v>
      </c>
      <c r="J14" s="25"/>
      <c r="K14" s="26"/>
      <c r="L14" s="26"/>
    </row>
    <row r="15" customFormat="false" ht="15" hidden="false" customHeight="true" outlineLevel="0" collapsed="false">
      <c r="A15" s="4" t="s">
        <v>332</v>
      </c>
      <c r="B15" s="4" t="s">
        <v>333</v>
      </c>
      <c r="C15" s="4" t="s">
        <v>192</v>
      </c>
      <c r="D15" s="4" t="n">
        <v>7</v>
      </c>
      <c r="E15" s="4" t="n">
        <v>27</v>
      </c>
      <c r="F15" s="4" t="n">
        <v>26</v>
      </c>
      <c r="G15" s="6" t="n">
        <f aca="false">E15-F15</f>
        <v>1</v>
      </c>
      <c r="H15" s="23" t="n">
        <v>1033.76</v>
      </c>
      <c r="I15" s="24" t="n">
        <f aca="false">IF(H15="","",G15*H15)</f>
        <v>1033.76</v>
      </c>
      <c r="J15" s="25" t="s">
        <v>189</v>
      </c>
      <c r="K15" s="26"/>
      <c r="L15" s="26"/>
    </row>
    <row r="16" customFormat="false" ht="15" hidden="false" customHeight="true" outlineLevel="0" collapsed="false">
      <c r="A16" s="4" t="s">
        <v>156</v>
      </c>
      <c r="B16" s="4" t="s">
        <v>157</v>
      </c>
      <c r="C16" s="4" t="s">
        <v>192</v>
      </c>
      <c r="D16" s="4" t="n">
        <v>7</v>
      </c>
      <c r="E16" s="4" t="n">
        <v>36</v>
      </c>
      <c r="F16" s="4" t="n">
        <v>30</v>
      </c>
      <c r="G16" s="6" t="n">
        <f aca="false">E16-F16</f>
        <v>6</v>
      </c>
      <c r="H16" s="23" t="n">
        <v>168.97</v>
      </c>
      <c r="I16" s="24" t="n">
        <f aca="false">IF(H16="","",G16*H16)</f>
        <v>1013.82</v>
      </c>
      <c r="J16" s="25"/>
      <c r="K16" s="26"/>
      <c r="L16" s="26"/>
    </row>
    <row r="17" customFormat="false" ht="15" hidden="false" customHeight="true" outlineLevel="0" collapsed="false">
      <c r="A17" s="4" t="s">
        <v>334</v>
      </c>
      <c r="B17" s="4" t="s">
        <v>335</v>
      </c>
      <c r="C17" s="4" t="s">
        <v>192</v>
      </c>
      <c r="D17" s="4" t="n">
        <v>11</v>
      </c>
      <c r="E17" s="4" t="n">
        <v>83</v>
      </c>
      <c r="F17" s="4" t="n">
        <v>61</v>
      </c>
      <c r="G17" s="6" t="n">
        <f aca="false">E17-F17</f>
        <v>22</v>
      </c>
      <c r="H17" s="23" t="n">
        <v>40.48</v>
      </c>
      <c r="I17" s="24" t="n">
        <f aca="false">IF(H17="","",G17*H17)</f>
        <v>890.56</v>
      </c>
      <c r="J17" s="25"/>
      <c r="K17" s="26"/>
      <c r="L17" s="26"/>
    </row>
    <row r="18" customFormat="false" ht="15" hidden="false" customHeight="true" outlineLevel="0" collapsed="false">
      <c r="A18" s="4" t="s">
        <v>336</v>
      </c>
      <c r="B18" s="4" t="s">
        <v>337</v>
      </c>
      <c r="C18" s="4" t="s">
        <v>192</v>
      </c>
      <c r="D18" s="4" t="n">
        <v>11</v>
      </c>
      <c r="E18" s="4" t="n">
        <v>83</v>
      </c>
      <c r="F18" s="4" t="n">
        <v>69</v>
      </c>
      <c r="G18" s="6" t="n">
        <f aca="false">E18-F18</f>
        <v>14</v>
      </c>
      <c r="H18" s="23" t="n">
        <v>60.69</v>
      </c>
      <c r="I18" s="24" t="n">
        <f aca="false">IF(H18="","",G18*H18)</f>
        <v>849.66</v>
      </c>
      <c r="J18" s="25" t="s">
        <v>189</v>
      </c>
      <c r="K18" s="26"/>
      <c r="L18" s="26"/>
    </row>
    <row r="19" customFormat="false" ht="15" hidden="false" customHeight="true" outlineLevel="0" collapsed="false">
      <c r="A19" s="4" t="s">
        <v>338</v>
      </c>
      <c r="B19" s="4" t="s">
        <v>339</v>
      </c>
      <c r="C19" s="4" t="s">
        <v>340</v>
      </c>
      <c r="D19" s="4" t="n">
        <v>15</v>
      </c>
      <c r="E19" s="4" t="n">
        <v>247</v>
      </c>
      <c r="F19" s="4" t="n">
        <v>51</v>
      </c>
      <c r="G19" s="6" t="n">
        <f aca="false">E19-F19</f>
        <v>196</v>
      </c>
      <c r="H19" s="23" t="n">
        <v>3.98</v>
      </c>
      <c r="I19" s="24" t="n">
        <f aca="false">IF(H19="","",G19*H19)</f>
        <v>780.08</v>
      </c>
      <c r="J19" s="25"/>
      <c r="K19" s="26"/>
      <c r="L19" s="26"/>
    </row>
    <row r="20" customFormat="false" ht="15" hidden="false" customHeight="true" outlineLevel="0" collapsed="false">
      <c r="A20" s="4" t="s">
        <v>341</v>
      </c>
      <c r="B20" s="4" t="s">
        <v>342</v>
      </c>
      <c r="C20" s="4" t="s">
        <v>192</v>
      </c>
      <c r="D20" s="4" t="n">
        <v>3</v>
      </c>
      <c r="E20" s="4" t="n">
        <v>6</v>
      </c>
      <c r="F20" s="4" t="n">
        <v>5</v>
      </c>
      <c r="G20" s="6" t="n">
        <f aca="false">E20-F20</f>
        <v>1</v>
      </c>
      <c r="H20" s="23" t="n">
        <v>762.08</v>
      </c>
      <c r="I20" s="24" t="n">
        <f aca="false">IF(H20="","",G20*H20)</f>
        <v>762.08</v>
      </c>
      <c r="J20" s="25" t="s">
        <v>189</v>
      </c>
      <c r="K20" s="26"/>
      <c r="L20" s="26"/>
    </row>
    <row r="21" customFormat="false" ht="15" hidden="false" customHeight="true" outlineLevel="0" collapsed="false">
      <c r="A21" s="4" t="s">
        <v>343</v>
      </c>
      <c r="B21" s="4" t="s">
        <v>344</v>
      </c>
      <c r="C21" s="4" t="s">
        <v>192</v>
      </c>
      <c r="D21" s="4" t="n">
        <v>4</v>
      </c>
      <c r="E21" s="4" t="n">
        <v>6</v>
      </c>
      <c r="F21" s="4" t="n">
        <v>3</v>
      </c>
      <c r="G21" s="6" t="n">
        <f aca="false">E21-F21</f>
        <v>3</v>
      </c>
      <c r="H21" s="23" t="n">
        <v>237.97</v>
      </c>
      <c r="I21" s="24" t="n">
        <f aca="false">IF(H21="","",G21*H21)</f>
        <v>713.91</v>
      </c>
      <c r="J21" s="25" t="s">
        <v>189</v>
      </c>
      <c r="K21" s="26"/>
      <c r="L21" s="26"/>
    </row>
    <row r="22" customFormat="false" ht="15" hidden="false" customHeight="true" outlineLevel="0" collapsed="false">
      <c r="A22" s="4" t="s">
        <v>345</v>
      </c>
      <c r="B22" s="4" t="s">
        <v>346</v>
      </c>
      <c r="C22" s="4" t="s">
        <v>192</v>
      </c>
      <c r="D22" s="4" t="n">
        <v>3</v>
      </c>
      <c r="E22" s="4" t="n">
        <v>15</v>
      </c>
      <c r="F22" s="4" t="n">
        <v>14</v>
      </c>
      <c r="G22" s="6" t="n">
        <f aca="false">E22-F22</f>
        <v>1</v>
      </c>
      <c r="H22" s="23" t="n">
        <v>705.43</v>
      </c>
      <c r="I22" s="24" t="n">
        <f aca="false">IF(H22="","",G22*H22)</f>
        <v>705.43</v>
      </c>
      <c r="J22" s="25" t="s">
        <v>189</v>
      </c>
      <c r="K22" s="26"/>
      <c r="L22" s="26"/>
    </row>
    <row r="23" customFormat="false" ht="15" hidden="false" customHeight="true" outlineLevel="0" collapsed="false">
      <c r="A23" s="4" t="s">
        <v>146</v>
      </c>
      <c r="B23" s="4" t="s">
        <v>147</v>
      </c>
      <c r="C23" s="4" t="s">
        <v>192</v>
      </c>
      <c r="D23" s="4" t="n">
        <v>11</v>
      </c>
      <c r="E23" s="4" t="n">
        <v>181</v>
      </c>
      <c r="F23" s="4" t="n">
        <v>150</v>
      </c>
      <c r="G23" s="6" t="n">
        <f aca="false">E23-F23</f>
        <v>31</v>
      </c>
      <c r="H23" s="23" t="n">
        <v>21.07</v>
      </c>
      <c r="I23" s="24" t="n">
        <f aca="false">IF(H23="","",G23*H23)</f>
        <v>653.17</v>
      </c>
      <c r="J23" s="25"/>
      <c r="K23" s="26"/>
      <c r="L23" s="26"/>
    </row>
    <row r="24" customFormat="false" ht="15" hidden="false" customHeight="true" outlineLevel="0" collapsed="false">
      <c r="A24" s="4" t="s">
        <v>139</v>
      </c>
      <c r="B24" s="4" t="s">
        <v>140</v>
      </c>
      <c r="C24" s="4" t="s">
        <v>192</v>
      </c>
      <c r="D24" s="4" t="n">
        <v>15</v>
      </c>
      <c r="E24" s="4" t="n">
        <v>764</v>
      </c>
      <c r="F24" s="4" t="n">
        <v>500</v>
      </c>
      <c r="G24" s="6" t="n">
        <f aca="false">E24-F24</f>
        <v>264</v>
      </c>
      <c r="H24" s="23" t="n">
        <v>1.9</v>
      </c>
      <c r="I24" s="24" t="n">
        <f aca="false">IF(H24="","",G24*H24)</f>
        <v>501.6</v>
      </c>
      <c r="J24" s="25"/>
      <c r="K24" s="26"/>
      <c r="L24" s="26"/>
    </row>
    <row r="25" customFormat="false" ht="15" hidden="false" customHeight="true" outlineLevel="0" collapsed="false">
      <c r="A25" s="4" t="s">
        <v>347</v>
      </c>
      <c r="B25" s="4" t="s">
        <v>348</v>
      </c>
      <c r="C25" s="4" t="s">
        <v>192</v>
      </c>
      <c r="D25" s="4" t="n">
        <v>15</v>
      </c>
      <c r="E25" s="4" t="n">
        <v>3696</v>
      </c>
      <c r="F25" s="4" t="n">
        <v>3534</v>
      </c>
      <c r="G25" s="6" t="n">
        <f aca="false">E25-F25</f>
        <v>162</v>
      </c>
      <c r="H25" s="23" t="n">
        <v>2.7</v>
      </c>
      <c r="I25" s="24" t="n">
        <f aca="false">IF(H25="","",G25*H25)</f>
        <v>437.4</v>
      </c>
      <c r="J25" s="25"/>
      <c r="K25" s="26"/>
      <c r="L25" s="26"/>
    </row>
    <row r="26" customFormat="false" ht="15" hidden="false" customHeight="true" outlineLevel="0" collapsed="false">
      <c r="A26" s="4" t="s">
        <v>349</v>
      </c>
      <c r="B26" s="4" t="s">
        <v>350</v>
      </c>
      <c r="C26" s="4" t="s">
        <v>192</v>
      </c>
      <c r="D26" s="4" t="n">
        <v>3</v>
      </c>
      <c r="E26" s="4" t="n">
        <v>5</v>
      </c>
      <c r="F26" s="4" t="n">
        <v>4</v>
      </c>
      <c r="G26" s="6" t="n">
        <f aca="false">E26-F26</f>
        <v>1</v>
      </c>
      <c r="H26" s="23" t="n">
        <v>436.45</v>
      </c>
      <c r="I26" s="24" t="n">
        <f aca="false">IF(H26="","",G26*H26)</f>
        <v>436.45</v>
      </c>
      <c r="J26" s="25" t="s">
        <v>189</v>
      </c>
      <c r="K26" s="26"/>
      <c r="L26" s="26"/>
    </row>
    <row r="27" customFormat="false" ht="15" hidden="false" customHeight="true" outlineLevel="0" collapsed="false">
      <c r="A27" s="4" t="s">
        <v>351</v>
      </c>
      <c r="B27" s="4" t="s">
        <v>352</v>
      </c>
      <c r="C27" s="4" t="s">
        <v>192</v>
      </c>
      <c r="D27" s="4" t="n">
        <v>15</v>
      </c>
      <c r="E27" s="4" t="n">
        <v>382</v>
      </c>
      <c r="F27" s="4" t="n">
        <v>350</v>
      </c>
      <c r="G27" s="6" t="n">
        <f aca="false">E27-F27</f>
        <v>32</v>
      </c>
      <c r="H27" s="23" t="n">
        <v>10.37</v>
      </c>
      <c r="I27" s="24" t="n">
        <f aca="false">IF(H27="","",G27*H27)</f>
        <v>331.84</v>
      </c>
      <c r="J27" s="25"/>
      <c r="K27" s="26"/>
      <c r="L27" s="26"/>
    </row>
    <row r="28" customFormat="false" ht="15" hidden="false" customHeight="true" outlineLevel="0" collapsed="false">
      <c r="A28" s="4" t="s">
        <v>151</v>
      </c>
      <c r="B28" s="4" t="s">
        <v>152</v>
      </c>
      <c r="C28" s="4" t="s">
        <v>192</v>
      </c>
      <c r="D28" s="4" t="n">
        <v>13</v>
      </c>
      <c r="E28" s="4" t="n">
        <v>51</v>
      </c>
      <c r="F28" s="4" t="n">
        <v>50</v>
      </c>
      <c r="G28" s="6" t="n">
        <f aca="false">E28-F28</f>
        <v>1</v>
      </c>
      <c r="H28" s="23" t="n">
        <v>297.3</v>
      </c>
      <c r="I28" s="24" t="n">
        <f aca="false">IF(H28="","",G28*H28)</f>
        <v>297.3</v>
      </c>
      <c r="J28" s="25" t="s">
        <v>189</v>
      </c>
      <c r="K28" s="26"/>
      <c r="L28" s="26"/>
    </row>
    <row r="29" customFormat="false" ht="15" hidden="false" customHeight="true" outlineLevel="0" collapsed="false">
      <c r="A29" s="4" t="s">
        <v>353</v>
      </c>
      <c r="B29" s="4" t="s">
        <v>354</v>
      </c>
      <c r="C29" s="4" t="s">
        <v>192</v>
      </c>
      <c r="D29" s="4" t="n">
        <v>13</v>
      </c>
      <c r="E29" s="4" t="n">
        <v>160</v>
      </c>
      <c r="F29" s="4" t="n">
        <v>98</v>
      </c>
      <c r="G29" s="6" t="n">
        <f aca="false">E29-F29</f>
        <v>62</v>
      </c>
      <c r="H29" s="23" t="n">
        <v>4.35</v>
      </c>
      <c r="I29" s="24" t="n">
        <f aca="false">IF(H29="","",G29*H29)</f>
        <v>269.7</v>
      </c>
      <c r="J29" s="25"/>
      <c r="K29" s="26"/>
      <c r="L29" s="26"/>
    </row>
    <row r="30" customFormat="false" ht="15" hidden="false" customHeight="true" outlineLevel="0" collapsed="false">
      <c r="A30" s="4" t="s">
        <v>355</v>
      </c>
      <c r="B30" s="4" t="s">
        <v>356</v>
      </c>
      <c r="C30" s="4" t="s">
        <v>192</v>
      </c>
      <c r="D30" s="4" t="n">
        <v>11</v>
      </c>
      <c r="E30" s="4" t="n">
        <v>167</v>
      </c>
      <c r="F30" s="4" t="n">
        <v>160</v>
      </c>
      <c r="G30" s="6" t="n">
        <f aca="false">E30-F30</f>
        <v>7</v>
      </c>
      <c r="H30" s="23" t="n">
        <v>35.88</v>
      </c>
      <c r="I30" s="24" t="n">
        <f aca="false">IF(H30="","",G30*H30)</f>
        <v>251.16</v>
      </c>
      <c r="J30" s="25"/>
      <c r="K30" s="26"/>
      <c r="L30" s="26"/>
    </row>
    <row r="31" customFormat="false" ht="15" hidden="false" customHeight="true" outlineLevel="0" collapsed="false">
      <c r="A31" s="4" t="s">
        <v>357</v>
      </c>
      <c r="B31" s="4" t="s">
        <v>358</v>
      </c>
      <c r="C31" s="4" t="s">
        <v>192</v>
      </c>
      <c r="D31" s="4" t="n">
        <v>7</v>
      </c>
      <c r="E31" s="4" t="n">
        <v>160</v>
      </c>
      <c r="F31" s="4" t="n">
        <v>102</v>
      </c>
      <c r="G31" s="6" t="n">
        <f aca="false">E31-F31</f>
        <v>58</v>
      </c>
      <c r="H31" s="23" t="n">
        <v>3.54</v>
      </c>
      <c r="I31" s="24" t="n">
        <f aca="false">IF(H31="","",G31*H31)</f>
        <v>205.32</v>
      </c>
      <c r="J31" s="25"/>
      <c r="K31" s="26"/>
      <c r="L31" s="26"/>
    </row>
    <row r="32" customFormat="false" ht="15" hidden="false" customHeight="true" outlineLevel="0" collapsed="false">
      <c r="A32" s="4" t="s">
        <v>359</v>
      </c>
      <c r="B32" s="4" t="s">
        <v>360</v>
      </c>
      <c r="C32" s="4" t="s">
        <v>192</v>
      </c>
      <c r="D32" s="4" t="n">
        <v>12</v>
      </c>
      <c r="E32" s="4" t="n">
        <v>202</v>
      </c>
      <c r="F32" s="4" t="n">
        <v>157</v>
      </c>
      <c r="G32" s="6" t="n">
        <f aca="false">E32-F32</f>
        <v>45</v>
      </c>
      <c r="H32" s="23" t="n">
        <v>4.24</v>
      </c>
      <c r="I32" s="24" t="n">
        <f aca="false">IF(H32="","",G32*H32)</f>
        <v>190.8</v>
      </c>
      <c r="J32" s="25"/>
      <c r="K32" s="26"/>
      <c r="L32" s="26"/>
    </row>
    <row r="33" customFormat="false" ht="15" hidden="false" customHeight="true" outlineLevel="0" collapsed="false">
      <c r="A33" s="4" t="s">
        <v>361</v>
      </c>
      <c r="B33" s="4" t="s">
        <v>362</v>
      </c>
      <c r="C33" s="4" t="s">
        <v>192</v>
      </c>
      <c r="D33" s="4" t="n">
        <v>7</v>
      </c>
      <c r="E33" s="4" t="n">
        <v>80</v>
      </c>
      <c r="F33" s="4" t="n">
        <v>71</v>
      </c>
      <c r="G33" s="6" t="n">
        <f aca="false">E33-F33</f>
        <v>9</v>
      </c>
      <c r="H33" s="23" t="n">
        <v>20.97</v>
      </c>
      <c r="I33" s="24" t="n">
        <f aca="false">IF(H33="","",G33*H33)</f>
        <v>188.73</v>
      </c>
      <c r="J33" s="25"/>
      <c r="K33" s="26"/>
      <c r="L33" s="26"/>
    </row>
    <row r="34" customFormat="false" ht="15" hidden="false" customHeight="true" outlineLevel="0" collapsed="false">
      <c r="A34" s="4" t="s">
        <v>363</v>
      </c>
      <c r="B34" s="4" t="s">
        <v>364</v>
      </c>
      <c r="C34" s="4" t="s">
        <v>192</v>
      </c>
      <c r="D34" s="4" t="n">
        <v>11</v>
      </c>
      <c r="E34" s="4" t="n">
        <v>99</v>
      </c>
      <c r="F34" s="4" t="n">
        <v>74</v>
      </c>
      <c r="G34" s="6" t="n">
        <f aca="false">E34-F34</f>
        <v>25</v>
      </c>
      <c r="H34" s="23" t="n">
        <v>7.47</v>
      </c>
      <c r="I34" s="24" t="n">
        <f aca="false">IF(H34="","",G34*H34)</f>
        <v>186.75</v>
      </c>
      <c r="J34" s="25"/>
      <c r="K34" s="26"/>
      <c r="L34" s="26"/>
    </row>
    <row r="35" customFormat="false" ht="15" hidden="false" customHeight="true" outlineLevel="0" collapsed="false">
      <c r="A35" s="4" t="s">
        <v>365</v>
      </c>
      <c r="B35" s="4" t="s">
        <v>366</v>
      </c>
      <c r="C35" s="4" t="s">
        <v>192</v>
      </c>
      <c r="D35" s="4" t="n">
        <v>7</v>
      </c>
      <c r="E35" s="4" t="n">
        <v>29</v>
      </c>
      <c r="F35" s="4" t="n">
        <v>22</v>
      </c>
      <c r="G35" s="6" t="n">
        <f aca="false">E35-F35</f>
        <v>7</v>
      </c>
      <c r="H35" s="23" t="n">
        <v>22.41</v>
      </c>
      <c r="I35" s="24" t="n">
        <f aca="false">IF(H35="","",G35*H35)</f>
        <v>156.87</v>
      </c>
      <c r="J35" s="25"/>
      <c r="K35" s="26"/>
      <c r="L35" s="26"/>
    </row>
    <row r="36" customFormat="false" ht="15" hidden="false" customHeight="true" outlineLevel="0" collapsed="false">
      <c r="A36" s="4" t="s">
        <v>367</v>
      </c>
      <c r="B36" s="4" t="s">
        <v>368</v>
      </c>
      <c r="C36" s="4" t="s">
        <v>192</v>
      </c>
      <c r="D36" s="4" t="n">
        <v>15</v>
      </c>
      <c r="E36" s="4" t="n">
        <v>2391</v>
      </c>
      <c r="F36" s="4" t="n">
        <v>2259</v>
      </c>
      <c r="G36" s="6" t="n">
        <f aca="false">E36-F36</f>
        <v>132</v>
      </c>
      <c r="H36" s="23" t="n">
        <v>1.1</v>
      </c>
      <c r="I36" s="24" t="n">
        <f aca="false">IF(H36="","",G36*H36)</f>
        <v>145.2</v>
      </c>
      <c r="J36" s="25"/>
      <c r="K36" s="26"/>
      <c r="L36" s="26"/>
    </row>
    <row r="37" customFormat="false" ht="15" hidden="false" customHeight="true" outlineLevel="0" collapsed="false">
      <c r="A37" s="4" t="s">
        <v>369</v>
      </c>
      <c r="B37" s="4" t="s">
        <v>370</v>
      </c>
      <c r="C37" s="4" t="s">
        <v>192</v>
      </c>
      <c r="D37" s="4" t="n">
        <v>7</v>
      </c>
      <c r="E37" s="4" t="n">
        <v>126</v>
      </c>
      <c r="F37" s="4" t="n">
        <v>75</v>
      </c>
      <c r="G37" s="6" t="n">
        <f aca="false">E37-F37</f>
        <v>51</v>
      </c>
      <c r="H37" s="23" t="n">
        <v>2.6</v>
      </c>
      <c r="I37" s="24" t="n">
        <f aca="false">IF(H37="","",G37*H37)</f>
        <v>132.6</v>
      </c>
      <c r="J37" s="25"/>
      <c r="K37" s="26"/>
      <c r="L37" s="26"/>
    </row>
    <row r="38" customFormat="false" ht="15" hidden="false" customHeight="true" outlineLevel="0" collapsed="false">
      <c r="A38" s="4" t="s">
        <v>164</v>
      </c>
      <c r="B38" s="4" t="s">
        <v>165</v>
      </c>
      <c r="C38" s="4" t="s">
        <v>192</v>
      </c>
      <c r="D38" s="4" t="n">
        <v>6</v>
      </c>
      <c r="E38" s="4" t="n">
        <v>14</v>
      </c>
      <c r="F38" s="4" t="n">
        <v>8</v>
      </c>
      <c r="G38" s="6" t="n">
        <f aca="false">E38-F38</f>
        <v>6</v>
      </c>
      <c r="H38" s="23" t="n">
        <v>19.44</v>
      </c>
      <c r="I38" s="24" t="n">
        <f aca="false">IF(H38="","",G38*H38)</f>
        <v>116.64</v>
      </c>
      <c r="J38" s="25" t="s">
        <v>189</v>
      </c>
      <c r="K38" s="26"/>
      <c r="L38" s="26"/>
    </row>
    <row r="39" customFormat="false" ht="15" hidden="false" customHeight="true" outlineLevel="0" collapsed="false">
      <c r="A39" s="4" t="s">
        <v>371</v>
      </c>
      <c r="B39" s="4" t="s">
        <v>372</v>
      </c>
      <c r="C39" s="4" t="s">
        <v>192</v>
      </c>
      <c r="D39" s="4" t="n">
        <v>13</v>
      </c>
      <c r="E39" s="4" t="n">
        <v>570</v>
      </c>
      <c r="F39" s="4" t="n">
        <v>50</v>
      </c>
      <c r="G39" s="6" t="n">
        <f aca="false">E39-F39</f>
        <v>520</v>
      </c>
      <c r="H39" s="23" t="n">
        <v>0.21</v>
      </c>
      <c r="I39" s="24" t="n">
        <f aca="false">IF(H39="","",G39*H39)</f>
        <v>109.2</v>
      </c>
      <c r="J39" s="25"/>
      <c r="K39" s="26"/>
      <c r="L39" s="26"/>
    </row>
    <row r="40" customFormat="false" ht="15" hidden="false" customHeight="true" outlineLevel="0" collapsed="false">
      <c r="A40" s="4" t="s">
        <v>159</v>
      </c>
      <c r="B40" s="4" t="s">
        <v>160</v>
      </c>
      <c r="C40" s="4" t="s">
        <v>192</v>
      </c>
      <c r="D40" s="4" t="n">
        <v>7</v>
      </c>
      <c r="E40" s="4" t="n">
        <v>52</v>
      </c>
      <c r="F40" s="4" t="n">
        <v>25</v>
      </c>
      <c r="G40" s="6" t="n">
        <f aca="false">E40-F40</f>
        <v>27</v>
      </c>
      <c r="H40" s="23" t="n">
        <v>3.04</v>
      </c>
      <c r="I40" s="24" t="n">
        <f aca="false">IF(H40="","",G40*H40)</f>
        <v>82.08</v>
      </c>
      <c r="J40" s="25"/>
      <c r="K40" s="26"/>
      <c r="L40" s="26"/>
    </row>
    <row r="41" customFormat="false" ht="15" hidden="false" customHeight="true" outlineLevel="0" collapsed="false">
      <c r="A41" s="4" t="s">
        <v>373</v>
      </c>
      <c r="B41" s="4" t="s">
        <v>374</v>
      </c>
      <c r="C41" s="4" t="s">
        <v>192</v>
      </c>
      <c r="D41" s="4" t="n">
        <v>14</v>
      </c>
      <c r="E41" s="4" t="n">
        <v>412</v>
      </c>
      <c r="F41" s="4" t="n">
        <v>411</v>
      </c>
      <c r="G41" s="6" t="n">
        <f aca="false">E41-F41</f>
        <v>1</v>
      </c>
      <c r="H41" s="23" t="n">
        <v>72.97</v>
      </c>
      <c r="I41" s="24" t="n">
        <f aca="false">IF(H41="","",G41*H41)</f>
        <v>72.97</v>
      </c>
      <c r="J41" s="25"/>
      <c r="K41" s="26"/>
      <c r="L41" s="26"/>
    </row>
    <row r="42" customFormat="false" ht="15" hidden="false" customHeight="true" outlineLevel="0" collapsed="false">
      <c r="A42" s="4" t="s">
        <v>375</v>
      </c>
      <c r="B42" s="4" t="s">
        <v>376</v>
      </c>
      <c r="C42" s="4" t="s">
        <v>192</v>
      </c>
      <c r="D42" s="4" t="n">
        <v>13</v>
      </c>
      <c r="E42" s="4" t="n">
        <v>124</v>
      </c>
      <c r="F42" s="4" t="n">
        <v>26</v>
      </c>
      <c r="G42" s="6" t="n">
        <f aca="false">E42-F42</f>
        <v>98</v>
      </c>
      <c r="H42" s="23" t="n">
        <v>0.7</v>
      </c>
      <c r="I42" s="24" t="n">
        <f aca="false">IF(H42="","",G42*H42)</f>
        <v>68.6</v>
      </c>
      <c r="J42" s="25"/>
      <c r="K42" s="26"/>
      <c r="L42" s="26"/>
    </row>
    <row r="43" customFormat="false" ht="15" hidden="false" customHeight="true" outlineLevel="0" collapsed="false">
      <c r="A43" s="4" t="s">
        <v>377</v>
      </c>
      <c r="B43" s="4" t="s">
        <v>378</v>
      </c>
      <c r="C43" s="4" t="s">
        <v>192</v>
      </c>
      <c r="D43" s="4" t="n">
        <v>7</v>
      </c>
      <c r="E43" s="4" t="n">
        <v>43</v>
      </c>
      <c r="F43" s="4" t="n">
        <v>32</v>
      </c>
      <c r="G43" s="6" t="n">
        <f aca="false">E43-F43</f>
        <v>11</v>
      </c>
      <c r="H43" s="23" t="n">
        <v>6.17</v>
      </c>
      <c r="I43" s="24" t="n">
        <f aca="false">IF(H43="","",G43*H43)</f>
        <v>67.87</v>
      </c>
      <c r="J43" s="25"/>
      <c r="K43" s="26"/>
      <c r="L43" s="26"/>
    </row>
    <row r="44" customFormat="false" ht="15" hidden="false" customHeight="true" outlineLevel="0" collapsed="false">
      <c r="A44" s="4" t="s">
        <v>166</v>
      </c>
      <c r="B44" s="4" t="s">
        <v>167</v>
      </c>
      <c r="C44" s="4" t="s">
        <v>192</v>
      </c>
      <c r="D44" s="4" t="n">
        <v>3</v>
      </c>
      <c r="E44" s="4" t="n">
        <v>7</v>
      </c>
      <c r="F44" s="4" t="n">
        <v>6</v>
      </c>
      <c r="G44" s="6" t="n">
        <f aca="false">E44-F44</f>
        <v>1</v>
      </c>
      <c r="H44" s="23" t="n">
        <v>60.63</v>
      </c>
      <c r="I44" s="24" t="n">
        <f aca="false">IF(H44="","",G44*H44)</f>
        <v>60.63</v>
      </c>
      <c r="J44" s="25"/>
      <c r="K44" s="26"/>
      <c r="L44" s="26"/>
    </row>
    <row r="45" customFormat="false" ht="15" hidden="false" customHeight="true" outlineLevel="0" collapsed="false">
      <c r="A45" s="4" t="s">
        <v>379</v>
      </c>
      <c r="B45" s="4" t="s">
        <v>380</v>
      </c>
      <c r="C45" s="4" t="s">
        <v>192</v>
      </c>
      <c r="D45" s="4" t="n">
        <v>13</v>
      </c>
      <c r="E45" s="4" t="n">
        <v>154</v>
      </c>
      <c r="F45" s="4" t="n">
        <v>136</v>
      </c>
      <c r="G45" s="6" t="n">
        <f aca="false">E45-F45</f>
        <v>18</v>
      </c>
      <c r="H45" s="23" t="n">
        <v>3.23</v>
      </c>
      <c r="I45" s="24" t="n">
        <f aca="false">IF(H45="","",G45*H45)</f>
        <v>58.14</v>
      </c>
      <c r="J45" s="25"/>
      <c r="K45" s="26"/>
      <c r="L45" s="26"/>
    </row>
    <row r="46" customFormat="false" ht="15" hidden="false" customHeight="true" outlineLevel="0" collapsed="false">
      <c r="A46" s="4" t="s">
        <v>381</v>
      </c>
      <c r="B46" s="4" t="s">
        <v>382</v>
      </c>
      <c r="C46" s="4" t="s">
        <v>192</v>
      </c>
      <c r="D46" s="4" t="n">
        <v>5</v>
      </c>
      <c r="E46" s="4" t="n">
        <v>303</v>
      </c>
      <c r="F46" s="4" t="n">
        <v>150</v>
      </c>
      <c r="G46" s="6" t="n">
        <f aca="false">E46-F46</f>
        <v>153</v>
      </c>
      <c r="H46" s="23" t="n">
        <v>0.36</v>
      </c>
      <c r="I46" s="24" t="n">
        <f aca="false">IF(H46="","",G46*H46)</f>
        <v>55.08</v>
      </c>
      <c r="J46" s="25"/>
      <c r="K46" s="26"/>
      <c r="L46" s="26"/>
    </row>
    <row r="47" customFormat="false" ht="15" hidden="false" customHeight="true" outlineLevel="0" collapsed="false">
      <c r="A47" s="4" t="s">
        <v>383</v>
      </c>
      <c r="B47" s="4" t="s">
        <v>384</v>
      </c>
      <c r="C47" s="4" t="s">
        <v>192</v>
      </c>
      <c r="D47" s="4" t="n">
        <v>12</v>
      </c>
      <c r="E47" s="4" t="n">
        <v>152</v>
      </c>
      <c r="F47" s="4" t="n">
        <v>127</v>
      </c>
      <c r="G47" s="6" t="n">
        <f aca="false">E47-F47</f>
        <v>25</v>
      </c>
      <c r="H47" s="23" t="n">
        <v>1.93</v>
      </c>
      <c r="I47" s="24" t="n">
        <f aca="false">IF(H47="","",G47*H47)</f>
        <v>48.25</v>
      </c>
      <c r="J47" s="25"/>
      <c r="K47" s="26"/>
      <c r="L47" s="26"/>
    </row>
    <row r="48" customFormat="false" ht="15" hidden="false" customHeight="true" outlineLevel="0" collapsed="false">
      <c r="A48" s="4" t="s">
        <v>385</v>
      </c>
      <c r="B48" s="4" t="s">
        <v>386</v>
      </c>
      <c r="C48" s="4" t="s">
        <v>192</v>
      </c>
      <c r="D48" s="4" t="n">
        <v>13</v>
      </c>
      <c r="E48" s="4" t="n">
        <v>307</v>
      </c>
      <c r="F48" s="4" t="n">
        <v>259</v>
      </c>
      <c r="G48" s="6" t="n">
        <f aca="false">E48-F48</f>
        <v>48</v>
      </c>
      <c r="H48" s="23" t="n">
        <v>0.88</v>
      </c>
      <c r="I48" s="24" t="n">
        <f aca="false">IF(H48="","",G48*H48)</f>
        <v>42.24</v>
      </c>
      <c r="J48" s="25"/>
      <c r="K48" s="26"/>
      <c r="L48" s="26"/>
    </row>
    <row r="49" customFormat="false" ht="15" hidden="false" customHeight="true" outlineLevel="0" collapsed="false">
      <c r="A49" s="4" t="s">
        <v>142</v>
      </c>
      <c r="B49" s="4" t="s">
        <v>143</v>
      </c>
      <c r="C49" s="4" t="s">
        <v>192</v>
      </c>
      <c r="D49" s="4" t="n">
        <v>15</v>
      </c>
      <c r="E49" s="4" t="n">
        <v>543</v>
      </c>
      <c r="F49" s="4" t="n">
        <v>527</v>
      </c>
      <c r="G49" s="6" t="n">
        <f aca="false">E49-F49</f>
        <v>16</v>
      </c>
      <c r="H49" s="23" t="n">
        <v>2.27</v>
      </c>
      <c r="I49" s="24" t="n">
        <f aca="false">IF(H49="","",G49*H49)</f>
        <v>36.32</v>
      </c>
      <c r="J49" s="25"/>
      <c r="K49" s="26"/>
      <c r="L49" s="26"/>
    </row>
    <row r="50" customFormat="false" ht="15" hidden="false" customHeight="true" outlineLevel="0" collapsed="false">
      <c r="A50" s="4" t="s">
        <v>387</v>
      </c>
      <c r="B50" s="4" t="s">
        <v>388</v>
      </c>
      <c r="C50" s="4" t="s">
        <v>192</v>
      </c>
      <c r="D50" s="4" t="n">
        <v>2</v>
      </c>
      <c r="E50" s="4" t="n">
        <v>33</v>
      </c>
      <c r="F50" s="4" t="n">
        <v>28</v>
      </c>
      <c r="G50" s="6" t="n">
        <f aca="false">E50-F50</f>
        <v>5</v>
      </c>
      <c r="H50" s="23" t="n">
        <v>4.33</v>
      </c>
      <c r="I50" s="24" t="n">
        <f aca="false">IF(H50="","",G50*H50)</f>
        <v>21.65</v>
      </c>
      <c r="J50" s="25"/>
      <c r="K50" s="26"/>
      <c r="L50" s="26"/>
    </row>
    <row r="51" customFormat="false" ht="15" hidden="false" customHeight="true" outlineLevel="0" collapsed="false">
      <c r="A51" s="4" t="s">
        <v>389</v>
      </c>
      <c r="B51" s="4" t="s">
        <v>390</v>
      </c>
      <c r="C51" s="4" t="s">
        <v>192</v>
      </c>
      <c r="D51" s="4" t="n">
        <v>8</v>
      </c>
      <c r="E51" s="4" t="n">
        <v>70</v>
      </c>
      <c r="F51" s="4" t="n">
        <v>57</v>
      </c>
      <c r="G51" s="6" t="n">
        <f aca="false">E51-F51</f>
        <v>13</v>
      </c>
      <c r="H51" s="23" t="n">
        <v>1.44</v>
      </c>
      <c r="I51" s="24" t="n">
        <f aca="false">IF(H51="","",G51*H51)</f>
        <v>18.72</v>
      </c>
      <c r="J51" s="25"/>
      <c r="K51" s="26"/>
      <c r="L51" s="26"/>
    </row>
    <row r="52" customFormat="false" ht="15" hidden="false" customHeight="true" outlineLevel="0" collapsed="false">
      <c r="A52" s="4" t="s">
        <v>391</v>
      </c>
      <c r="B52" s="4" t="s">
        <v>392</v>
      </c>
      <c r="C52" s="4" t="s">
        <v>192</v>
      </c>
      <c r="D52" s="4" t="n">
        <v>11</v>
      </c>
      <c r="E52" s="4" t="n">
        <v>94</v>
      </c>
      <c r="F52" s="4" t="n">
        <v>85</v>
      </c>
      <c r="G52" s="6" t="n">
        <f aca="false">E52-F52</f>
        <v>9</v>
      </c>
      <c r="H52" s="23" t="n">
        <v>1.49</v>
      </c>
      <c r="I52" s="24" t="n">
        <f aca="false">IF(H52="","",G52*H52)</f>
        <v>13.41</v>
      </c>
      <c r="J52" s="25"/>
      <c r="K52" s="26"/>
      <c r="L52" s="26"/>
    </row>
    <row r="53" customFormat="false" ht="15" hidden="false" customHeight="true" outlineLevel="0" collapsed="false">
      <c r="A53" s="4" t="s">
        <v>393</v>
      </c>
      <c r="B53" s="4" t="s">
        <v>394</v>
      </c>
      <c r="C53" s="4" t="s">
        <v>192</v>
      </c>
      <c r="D53" s="4" t="n">
        <v>11</v>
      </c>
      <c r="E53" s="4" t="n">
        <v>280</v>
      </c>
      <c r="F53" s="4" t="n">
        <v>276</v>
      </c>
      <c r="G53" s="6" t="n">
        <f aca="false">E53-F53</f>
        <v>4</v>
      </c>
      <c r="H53" s="23" t="n">
        <v>2.4</v>
      </c>
      <c r="I53" s="24" t="n">
        <f aca="false">IF(H53="","",G53*H53)</f>
        <v>9.6</v>
      </c>
      <c r="J53" s="25"/>
      <c r="K53" s="26"/>
      <c r="L53" s="26"/>
    </row>
    <row r="54" customFormat="false" ht="15" hidden="false" customHeight="true" outlineLevel="0" collapsed="false">
      <c r="A54" s="4" t="s">
        <v>162</v>
      </c>
      <c r="B54" s="4" t="s">
        <v>163</v>
      </c>
      <c r="C54" s="4" t="s">
        <v>192</v>
      </c>
      <c r="D54" s="4" t="n">
        <v>2</v>
      </c>
      <c r="E54" s="4" t="n">
        <v>28</v>
      </c>
      <c r="F54" s="4" t="n">
        <v>25</v>
      </c>
      <c r="G54" s="6" t="n">
        <f aca="false">E54-F54</f>
        <v>3</v>
      </c>
      <c r="H54" s="23" t="n">
        <v>2.57</v>
      </c>
      <c r="I54" s="24" t="n">
        <f aca="false">IF(H54="","",G54*H54)</f>
        <v>7.71</v>
      </c>
      <c r="J54" s="25"/>
      <c r="K54" s="26"/>
      <c r="L54" s="26"/>
    </row>
    <row r="55" customFormat="false" ht="15" hidden="false" customHeight="true" outlineLevel="0" collapsed="false">
      <c r="A55" s="4" t="s">
        <v>395</v>
      </c>
      <c r="B55" s="4" t="s">
        <v>396</v>
      </c>
      <c r="C55" s="4" t="s">
        <v>192</v>
      </c>
      <c r="D55" s="4" t="n">
        <v>8</v>
      </c>
      <c r="E55" s="4" t="n">
        <v>150</v>
      </c>
      <c r="F55" s="4" t="n">
        <v>132</v>
      </c>
      <c r="G55" s="6" t="n">
        <f aca="false">E55-F55</f>
        <v>18</v>
      </c>
      <c r="H55" s="23" t="n">
        <v>0.29</v>
      </c>
      <c r="I55" s="24" t="n">
        <f aca="false">IF(H55="","",G55*H55)</f>
        <v>5.22</v>
      </c>
      <c r="J55" s="25"/>
      <c r="K55" s="26"/>
      <c r="L55" s="26"/>
    </row>
    <row r="56" customFormat="false" ht="15" hidden="false" customHeight="true" outlineLevel="0" collapsed="false">
      <c r="A56" s="4" t="s">
        <v>397</v>
      </c>
      <c r="B56" s="4" t="s">
        <v>398</v>
      </c>
      <c r="C56" s="4" t="s">
        <v>192</v>
      </c>
      <c r="D56" s="4" t="n">
        <v>4</v>
      </c>
      <c r="E56" s="4" t="n">
        <v>41</v>
      </c>
      <c r="F56" s="4" t="n">
        <v>15</v>
      </c>
      <c r="G56" s="6" t="n">
        <f aca="false">E56-F56</f>
        <v>26</v>
      </c>
      <c r="H56" s="23" t="n">
        <v>0.19</v>
      </c>
      <c r="I56" s="24" t="n">
        <f aca="false">IF(H56="","",G56*H56)</f>
        <v>4.94</v>
      </c>
      <c r="J56" s="25"/>
      <c r="K56" s="26"/>
      <c r="L56" s="26"/>
    </row>
    <row r="57" customFormat="false" ht="15" hidden="false" customHeight="true" outlineLevel="0" collapsed="false">
      <c r="A57" s="4" t="s">
        <v>399</v>
      </c>
      <c r="B57" s="4" t="s">
        <v>400</v>
      </c>
      <c r="C57" s="4" t="s">
        <v>192</v>
      </c>
      <c r="D57" s="4" t="n">
        <v>7</v>
      </c>
      <c r="E57" s="4" t="n">
        <v>120</v>
      </c>
      <c r="F57" s="4" t="n">
        <v>30</v>
      </c>
      <c r="G57" s="6" t="n">
        <f aca="false">E57-F57</f>
        <v>90</v>
      </c>
      <c r="H57" s="23" t="n">
        <v>0.03</v>
      </c>
      <c r="I57" s="24" t="n">
        <f aca="false">IF(H57="","",G57*H57)</f>
        <v>2.7</v>
      </c>
      <c r="J57" s="25"/>
      <c r="K57" s="26"/>
      <c r="L57" s="26"/>
    </row>
    <row r="58" customFormat="false" ht="15" hidden="false" customHeight="true" outlineLevel="0" collapsed="false">
      <c r="B58" s="6" t="s">
        <v>313</v>
      </c>
      <c r="I58" s="27" t="n">
        <f aca="false">SUM(I5:I57)</f>
        <v>63870.386642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8A8A"/>
    <pageSetUpPr fitToPage="false"/>
  </sheetPr>
  <dimension ref="A1:J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6"/>
    <col collapsed="false" customWidth="true" hidden="false" outlineLevel="0" max="3" min="3" style="1" width="7"/>
    <col collapsed="false" customWidth="true" hidden="false" outlineLevel="0" max="4" min="4" style="1" width="6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8"/>
    <col collapsed="false" customWidth="true" hidden="false" outlineLevel="0" max="9" min="9" style="1" width="13"/>
    <col collapsed="false" customWidth="true" hidden="false" outlineLevel="0" max="10" min="10" style="1" width="26"/>
  </cols>
  <sheetData>
    <row r="1" customFormat="false" ht="15" hidden="false" customHeight="true" outlineLevel="0" collapsed="false">
      <c r="A1" s="21" t="s">
        <v>401</v>
      </c>
    </row>
    <row r="2" customFormat="false" ht="15" hidden="false" customHeight="true" outlineLevel="0" collapsed="false">
      <c r="A2" s="22" t="s">
        <v>402</v>
      </c>
    </row>
    <row r="4" customFormat="false" ht="23.25" hidden="false" customHeight="true" outlineLevel="0" collapsed="false">
      <c r="A4" s="10" t="s">
        <v>28</v>
      </c>
      <c r="B4" s="10" t="s">
        <v>29</v>
      </c>
      <c r="C4" s="10" t="s">
        <v>176</v>
      </c>
      <c r="D4" s="10" t="s">
        <v>177</v>
      </c>
      <c r="E4" s="10" t="s">
        <v>178</v>
      </c>
      <c r="F4" s="10" t="s">
        <v>181</v>
      </c>
      <c r="G4" s="10" t="s">
        <v>182</v>
      </c>
      <c r="H4" s="10" t="s">
        <v>183</v>
      </c>
      <c r="I4" s="10" t="s">
        <v>184</v>
      </c>
      <c r="J4" s="10" t="s">
        <v>185</v>
      </c>
    </row>
    <row r="5" customFormat="false" ht="15" hidden="false" customHeight="true" outlineLevel="0" collapsed="false">
      <c r="A5" s="4" t="s">
        <v>403</v>
      </c>
      <c r="B5" s="4" t="s">
        <v>404</v>
      </c>
      <c r="C5" s="4"/>
      <c r="D5" s="4" t="n">
        <v>7</v>
      </c>
      <c r="E5" s="4" t="n">
        <v>81</v>
      </c>
      <c r="F5" s="23" t="n">
        <v>2308.13</v>
      </c>
      <c r="G5" s="24" t="n">
        <f aca="false">IF(F5="","",E5*F5)</f>
        <v>186958.53</v>
      </c>
      <c r="H5" s="25" t="s">
        <v>189</v>
      </c>
      <c r="I5" s="26"/>
      <c r="J5" s="26"/>
    </row>
    <row r="6" customFormat="false" ht="15" hidden="false" customHeight="true" outlineLevel="0" collapsed="false">
      <c r="A6" s="4" t="s">
        <v>405</v>
      </c>
      <c r="B6" s="4" t="s">
        <v>406</v>
      </c>
      <c r="C6" s="4"/>
      <c r="D6" s="4" t="n">
        <v>1</v>
      </c>
      <c r="E6" s="4" t="n">
        <v>3</v>
      </c>
      <c r="F6" s="23" t="n">
        <v>11127.15</v>
      </c>
      <c r="G6" s="24" t="n">
        <f aca="false">IF(F6="","",E6*F6)</f>
        <v>33381.45</v>
      </c>
      <c r="H6" s="25" t="s">
        <v>189</v>
      </c>
      <c r="I6" s="26"/>
      <c r="J6" s="26"/>
    </row>
    <row r="7" customFormat="false" ht="15" hidden="false" customHeight="true" outlineLevel="0" collapsed="false">
      <c r="A7" s="4" t="s">
        <v>407</v>
      </c>
      <c r="B7" s="4" t="s">
        <v>408</v>
      </c>
      <c r="C7" s="4"/>
      <c r="D7" s="4" t="n">
        <v>1</v>
      </c>
      <c r="E7" s="4" t="n">
        <v>12</v>
      </c>
      <c r="F7" s="23" t="n">
        <v>1349.39</v>
      </c>
      <c r="G7" s="24" t="n">
        <f aca="false">IF(F7="","",E7*F7)</f>
        <v>16192.68</v>
      </c>
      <c r="H7" s="25"/>
      <c r="I7" s="26"/>
      <c r="J7" s="26"/>
    </row>
    <row r="8" customFormat="false" ht="15" hidden="false" customHeight="true" outlineLevel="0" collapsed="false">
      <c r="A8" s="4" t="s">
        <v>409</v>
      </c>
      <c r="B8" s="4" t="s">
        <v>410</v>
      </c>
      <c r="C8" s="4"/>
      <c r="D8" s="4" t="n">
        <v>3</v>
      </c>
      <c r="E8" s="4" t="n">
        <v>5</v>
      </c>
      <c r="F8" s="23" t="n">
        <v>2949.44</v>
      </c>
      <c r="G8" s="24" t="n">
        <f aca="false">IF(F8="","",E8*F8)</f>
        <v>14747.2</v>
      </c>
      <c r="H8" s="25" t="s">
        <v>189</v>
      </c>
      <c r="I8" s="26"/>
      <c r="J8" s="26"/>
    </row>
    <row r="9" customFormat="false" ht="15" hidden="false" customHeight="true" outlineLevel="0" collapsed="false">
      <c r="A9" s="4" t="s">
        <v>411</v>
      </c>
      <c r="B9" s="4" t="s">
        <v>412</v>
      </c>
      <c r="C9" s="4"/>
      <c r="D9" s="4" t="n">
        <v>2</v>
      </c>
      <c r="E9" s="4" t="n">
        <v>3</v>
      </c>
      <c r="F9" s="23" t="n">
        <v>2603.39</v>
      </c>
      <c r="G9" s="24" t="n">
        <f aca="false">IF(F9="","",E9*F9)</f>
        <v>7810.17</v>
      </c>
      <c r="H9" s="25" t="s">
        <v>189</v>
      </c>
      <c r="I9" s="26"/>
      <c r="J9" s="26"/>
    </row>
    <row r="10" customFormat="false" ht="15" hidden="false" customHeight="true" outlineLevel="0" collapsed="false">
      <c r="A10" s="4" t="s">
        <v>413</v>
      </c>
      <c r="B10" s="4" t="s">
        <v>414</v>
      </c>
      <c r="C10" s="4"/>
      <c r="D10" s="4" t="n">
        <v>4</v>
      </c>
      <c r="E10" s="4" t="n">
        <v>4</v>
      </c>
      <c r="F10" s="23" t="n">
        <v>1891.65</v>
      </c>
      <c r="G10" s="24" t="n">
        <f aca="false">IF(F10="","",E10*F10)</f>
        <v>7566.6</v>
      </c>
      <c r="H10" s="25" t="s">
        <v>189</v>
      </c>
      <c r="I10" s="26"/>
      <c r="J10" s="26"/>
    </row>
    <row r="11" customFormat="false" ht="15" hidden="false" customHeight="true" outlineLevel="0" collapsed="false">
      <c r="A11" s="4" t="s">
        <v>415</v>
      </c>
      <c r="B11" s="4" t="s">
        <v>416</v>
      </c>
      <c r="C11" s="4"/>
      <c r="D11" s="4" t="n">
        <v>1</v>
      </c>
      <c r="E11" s="4" t="n">
        <v>4</v>
      </c>
      <c r="F11" s="23" t="n">
        <v>1796.82</v>
      </c>
      <c r="G11" s="24" t="n">
        <f aca="false">IF(F11="","",E11*F11)</f>
        <v>7187.28</v>
      </c>
      <c r="H11" s="25"/>
      <c r="I11" s="26"/>
      <c r="J11" s="26"/>
    </row>
    <row r="12" customFormat="false" ht="15" hidden="false" customHeight="true" outlineLevel="0" collapsed="false">
      <c r="A12" s="4" t="s">
        <v>417</v>
      </c>
      <c r="B12" s="4" t="s">
        <v>418</v>
      </c>
      <c r="C12" s="4"/>
      <c r="D12" s="4" t="n">
        <v>14</v>
      </c>
      <c r="E12" s="4" t="n">
        <v>5692</v>
      </c>
      <c r="F12" s="23" t="n">
        <v>0.87</v>
      </c>
      <c r="G12" s="24" t="n">
        <f aca="false">IF(F12="","",E12*F12)</f>
        <v>4952.04</v>
      </c>
      <c r="H12" s="25" t="s">
        <v>189</v>
      </c>
      <c r="I12" s="26"/>
      <c r="J12" s="26"/>
    </row>
    <row r="13" customFormat="false" ht="15" hidden="false" customHeight="true" outlineLevel="0" collapsed="false">
      <c r="A13" s="4" t="s">
        <v>419</v>
      </c>
      <c r="B13" s="4" t="s">
        <v>420</v>
      </c>
      <c r="C13" s="4"/>
      <c r="D13" s="4" t="n">
        <v>8</v>
      </c>
      <c r="E13" s="4" t="n">
        <v>56</v>
      </c>
      <c r="F13" s="23" t="n">
        <v>77.54</v>
      </c>
      <c r="G13" s="24" t="n">
        <f aca="false">IF(F13="","",E13*F13)</f>
        <v>4342.24</v>
      </c>
      <c r="H13" s="25"/>
      <c r="I13" s="26"/>
      <c r="J13" s="26"/>
    </row>
    <row r="14" customFormat="false" ht="15" hidden="false" customHeight="true" outlineLevel="0" collapsed="false">
      <c r="A14" s="4" t="s">
        <v>421</v>
      </c>
      <c r="B14" s="4" t="s">
        <v>422</v>
      </c>
      <c r="C14" s="4"/>
      <c r="D14" s="4" t="n">
        <v>1</v>
      </c>
      <c r="E14" s="4" t="n">
        <v>2456</v>
      </c>
      <c r="F14" s="23" t="n">
        <v>1.42</v>
      </c>
      <c r="G14" s="24" t="n">
        <f aca="false">IF(F14="","",E14*F14)</f>
        <v>3487.52</v>
      </c>
      <c r="H14" s="25" t="s">
        <v>189</v>
      </c>
      <c r="I14" s="26"/>
      <c r="J14" s="26"/>
    </row>
    <row r="15" customFormat="false" ht="15" hidden="false" customHeight="true" outlineLevel="0" collapsed="false">
      <c r="A15" s="4" t="s">
        <v>423</v>
      </c>
      <c r="B15" s="4" t="s">
        <v>424</v>
      </c>
      <c r="C15" s="4"/>
      <c r="D15" s="4" t="n">
        <v>9</v>
      </c>
      <c r="E15" s="4" t="n">
        <v>62</v>
      </c>
      <c r="F15" s="23" t="n">
        <v>55.67</v>
      </c>
      <c r="G15" s="24" t="n">
        <f aca="false">IF(F15="","",E15*F15)</f>
        <v>3451.54</v>
      </c>
      <c r="H15" s="25"/>
      <c r="I15" s="26"/>
      <c r="J15" s="26"/>
    </row>
    <row r="16" customFormat="false" ht="15" hidden="false" customHeight="true" outlineLevel="0" collapsed="false">
      <c r="A16" s="4" t="s">
        <v>425</v>
      </c>
      <c r="B16" s="4" t="s">
        <v>426</v>
      </c>
      <c r="C16" s="4"/>
      <c r="D16" s="4" t="n">
        <v>1</v>
      </c>
      <c r="E16" s="4" t="n">
        <v>896</v>
      </c>
      <c r="F16" s="23" t="n">
        <v>3.64</v>
      </c>
      <c r="G16" s="24" t="n">
        <f aca="false">IF(F16="","",E16*F16)</f>
        <v>3261.44</v>
      </c>
      <c r="H16" s="25" t="s">
        <v>189</v>
      </c>
      <c r="I16" s="26"/>
      <c r="J16" s="26"/>
    </row>
    <row r="17" customFormat="false" ht="15" hidden="false" customHeight="true" outlineLevel="0" collapsed="false">
      <c r="A17" s="4" t="s">
        <v>427</v>
      </c>
      <c r="B17" s="4" t="s">
        <v>428</v>
      </c>
      <c r="C17" s="4"/>
      <c r="D17" s="4" t="n">
        <v>1</v>
      </c>
      <c r="E17" s="4" t="n">
        <v>1</v>
      </c>
      <c r="F17" s="23" t="n">
        <v>2677.57</v>
      </c>
      <c r="G17" s="24" t="n">
        <f aca="false">IF(F17="","",E17*F17)</f>
        <v>2677.57</v>
      </c>
      <c r="H17" s="25" t="s">
        <v>189</v>
      </c>
      <c r="I17" s="26"/>
      <c r="J17" s="26"/>
    </row>
    <row r="18" customFormat="false" ht="15" hidden="false" customHeight="true" outlineLevel="0" collapsed="false">
      <c r="A18" s="4" t="s">
        <v>429</v>
      </c>
      <c r="B18" s="4" t="s">
        <v>430</v>
      </c>
      <c r="C18" s="4"/>
      <c r="D18" s="4" t="n">
        <v>8</v>
      </c>
      <c r="E18" s="4" t="n">
        <v>3464</v>
      </c>
      <c r="F18" s="23" t="n">
        <v>0.67</v>
      </c>
      <c r="G18" s="24" t="n">
        <f aca="false">IF(F18="","",E18*F18)</f>
        <v>2320.88</v>
      </c>
      <c r="H18" s="25" t="s">
        <v>189</v>
      </c>
      <c r="I18" s="26"/>
      <c r="J18" s="26"/>
    </row>
    <row r="19" customFormat="false" ht="15" hidden="false" customHeight="true" outlineLevel="0" collapsed="false">
      <c r="A19" s="4" t="s">
        <v>431</v>
      </c>
      <c r="B19" s="4" t="s">
        <v>432</v>
      </c>
      <c r="C19" s="4"/>
      <c r="D19" s="4" t="n">
        <v>4</v>
      </c>
      <c r="E19" s="4" t="n">
        <v>26</v>
      </c>
      <c r="F19" s="23" t="n">
        <v>81.77</v>
      </c>
      <c r="G19" s="24" t="n">
        <f aca="false">IF(F19="","",E19*F19)</f>
        <v>2126.02</v>
      </c>
      <c r="H19" s="25"/>
      <c r="I19" s="26"/>
      <c r="J19" s="26"/>
    </row>
    <row r="20" customFormat="false" ht="15" hidden="false" customHeight="true" outlineLevel="0" collapsed="false">
      <c r="A20" s="4" t="s">
        <v>433</v>
      </c>
      <c r="B20" s="4" t="s">
        <v>434</v>
      </c>
      <c r="C20" s="4"/>
      <c r="D20" s="4" t="n">
        <v>2</v>
      </c>
      <c r="E20" s="4" t="n">
        <v>1118</v>
      </c>
      <c r="F20" s="23" t="n">
        <v>1.85</v>
      </c>
      <c r="G20" s="24" t="n">
        <f aca="false">IF(F20="","",E20*F20)</f>
        <v>2068.3</v>
      </c>
      <c r="H20" s="25" t="s">
        <v>189</v>
      </c>
      <c r="I20" s="26"/>
      <c r="J20" s="26"/>
    </row>
    <row r="21" customFormat="false" ht="15" hidden="false" customHeight="true" outlineLevel="0" collapsed="false">
      <c r="A21" s="4" t="s">
        <v>435</v>
      </c>
      <c r="B21" s="4" t="s">
        <v>436</v>
      </c>
      <c r="C21" s="4"/>
      <c r="D21" s="4" t="n">
        <v>10</v>
      </c>
      <c r="E21" s="4" t="n">
        <v>147</v>
      </c>
      <c r="F21" s="23" t="n">
        <v>13.26</v>
      </c>
      <c r="G21" s="24" t="n">
        <f aca="false">IF(F21="","",E21*F21)</f>
        <v>1949.22</v>
      </c>
      <c r="H21" s="25"/>
      <c r="I21" s="26"/>
      <c r="J21" s="26"/>
    </row>
    <row r="22" customFormat="false" ht="15" hidden="false" customHeight="true" outlineLevel="0" collapsed="false">
      <c r="A22" s="4" t="s">
        <v>437</v>
      </c>
      <c r="B22" s="4" t="s">
        <v>438</v>
      </c>
      <c r="C22" s="4"/>
      <c r="D22" s="4" t="n">
        <v>3</v>
      </c>
      <c r="E22" s="4" t="n">
        <v>5701</v>
      </c>
      <c r="F22" s="23" t="n">
        <v>0.26</v>
      </c>
      <c r="G22" s="24" t="n">
        <f aca="false">IF(F22="","",E22*F22)</f>
        <v>1482.26</v>
      </c>
      <c r="H22" s="25" t="s">
        <v>189</v>
      </c>
      <c r="I22" s="26"/>
      <c r="J22" s="26"/>
    </row>
    <row r="23" customFormat="false" ht="15" hidden="false" customHeight="true" outlineLevel="0" collapsed="false">
      <c r="A23" s="4" t="s">
        <v>439</v>
      </c>
      <c r="B23" s="4" t="s">
        <v>440</v>
      </c>
      <c r="C23" s="4"/>
      <c r="D23" s="4" t="n">
        <v>7</v>
      </c>
      <c r="E23" s="4" t="n">
        <v>704</v>
      </c>
      <c r="F23" s="23" t="n">
        <v>2.01</v>
      </c>
      <c r="G23" s="24" t="n">
        <f aca="false">IF(F23="","",E23*F23)</f>
        <v>1415.04</v>
      </c>
      <c r="H23" s="25" t="s">
        <v>189</v>
      </c>
      <c r="I23" s="26"/>
      <c r="J23" s="26"/>
    </row>
    <row r="24" customFormat="false" ht="15" hidden="false" customHeight="true" outlineLevel="0" collapsed="false">
      <c r="A24" s="4" t="s">
        <v>441</v>
      </c>
      <c r="B24" s="4" t="s">
        <v>69</v>
      </c>
      <c r="C24" s="4"/>
      <c r="D24" s="4" t="n">
        <v>1</v>
      </c>
      <c r="E24" s="4" t="n">
        <v>1</v>
      </c>
      <c r="F24" s="23" t="n">
        <v>1307.06</v>
      </c>
      <c r="G24" s="24" t="n">
        <f aca="false">IF(F24="","",E24*F24)</f>
        <v>1307.06</v>
      </c>
      <c r="H24" s="25" t="s">
        <v>189</v>
      </c>
      <c r="I24" s="26"/>
      <c r="J24" s="26"/>
    </row>
    <row r="25" customFormat="false" ht="15" hidden="false" customHeight="true" outlineLevel="0" collapsed="false">
      <c r="A25" s="4" t="s">
        <v>442</v>
      </c>
      <c r="B25" s="4" t="s">
        <v>443</v>
      </c>
      <c r="C25" s="4"/>
      <c r="D25" s="4" t="n">
        <v>1</v>
      </c>
      <c r="E25" s="4" t="n">
        <v>1</v>
      </c>
      <c r="F25" s="23" t="n">
        <v>1288.79</v>
      </c>
      <c r="G25" s="24" t="n">
        <f aca="false">IF(F25="","",E25*F25)</f>
        <v>1288.79</v>
      </c>
      <c r="H25" s="25" t="s">
        <v>189</v>
      </c>
      <c r="I25" s="26"/>
      <c r="J25" s="26"/>
    </row>
    <row r="26" customFormat="false" ht="15" hidden="false" customHeight="true" outlineLevel="0" collapsed="false">
      <c r="A26" s="4" t="s">
        <v>444</v>
      </c>
      <c r="B26" s="4" t="s">
        <v>445</v>
      </c>
      <c r="C26" s="4"/>
      <c r="D26" s="4" t="n">
        <v>1</v>
      </c>
      <c r="E26" s="4" t="n">
        <v>2</v>
      </c>
      <c r="F26" s="23" t="n">
        <v>613.75</v>
      </c>
      <c r="G26" s="24" t="n">
        <f aca="false">IF(F26="","",E26*F26)</f>
        <v>1227.5</v>
      </c>
      <c r="H26" s="25" t="s">
        <v>189</v>
      </c>
      <c r="I26" s="26"/>
      <c r="J26" s="26"/>
    </row>
    <row r="27" customFormat="false" ht="15" hidden="false" customHeight="true" outlineLevel="0" collapsed="false">
      <c r="A27" s="4" t="s">
        <v>446</v>
      </c>
      <c r="B27" s="4" t="s">
        <v>447</v>
      </c>
      <c r="C27" s="4"/>
      <c r="D27" s="4" t="n">
        <v>1</v>
      </c>
      <c r="E27" s="4" t="n">
        <v>3</v>
      </c>
      <c r="F27" s="23" t="n">
        <v>346.35</v>
      </c>
      <c r="G27" s="24" t="n">
        <f aca="false">IF(F27="","",E27*F27)</f>
        <v>1039.05</v>
      </c>
      <c r="H27" s="25"/>
      <c r="I27" s="26"/>
      <c r="J27" s="26"/>
    </row>
    <row r="28" customFormat="false" ht="15" hidden="false" customHeight="true" outlineLevel="0" collapsed="false">
      <c r="A28" s="4" t="s">
        <v>448</v>
      </c>
      <c r="B28" s="4" t="s">
        <v>449</v>
      </c>
      <c r="C28" s="4"/>
      <c r="D28" s="4" t="n">
        <v>3</v>
      </c>
      <c r="E28" s="4" t="n">
        <v>1506</v>
      </c>
      <c r="F28" s="23" t="n">
        <v>0.67</v>
      </c>
      <c r="G28" s="24" t="n">
        <f aca="false">IF(F28="","",E28*F28)</f>
        <v>1009.02</v>
      </c>
      <c r="H28" s="25" t="s">
        <v>189</v>
      </c>
      <c r="I28" s="26"/>
      <c r="J28" s="26"/>
    </row>
    <row r="29" customFormat="false" ht="15" hidden="false" customHeight="true" outlineLevel="0" collapsed="false">
      <c r="A29" s="4" t="s">
        <v>450</v>
      </c>
      <c r="B29" s="4" t="s">
        <v>451</v>
      </c>
      <c r="C29" s="4"/>
      <c r="D29" s="4" t="n">
        <v>1</v>
      </c>
      <c r="E29" s="4" t="n">
        <v>4</v>
      </c>
      <c r="F29" s="23" t="n">
        <v>202.18</v>
      </c>
      <c r="G29" s="24" t="n">
        <f aca="false">IF(F29="","",E29*F29)</f>
        <v>808.72</v>
      </c>
      <c r="H29" s="25"/>
      <c r="I29" s="26"/>
      <c r="J29" s="26"/>
    </row>
    <row r="30" customFormat="false" ht="15" hidden="false" customHeight="true" outlineLevel="0" collapsed="false">
      <c r="A30" s="4" t="s">
        <v>452</v>
      </c>
      <c r="B30" s="4" t="s">
        <v>453</v>
      </c>
      <c r="C30" s="4"/>
      <c r="D30" s="4" t="n">
        <v>1</v>
      </c>
      <c r="E30" s="4" t="n">
        <v>6</v>
      </c>
      <c r="F30" s="23" t="n">
        <v>112.96</v>
      </c>
      <c r="G30" s="24" t="n">
        <f aca="false">IF(F30="","",E30*F30)</f>
        <v>677.76</v>
      </c>
      <c r="H30" s="25"/>
      <c r="I30" s="26"/>
      <c r="J30" s="26"/>
    </row>
    <row r="31" customFormat="false" ht="15" hidden="false" customHeight="true" outlineLevel="0" collapsed="false">
      <c r="A31" s="4" t="s">
        <v>454</v>
      </c>
      <c r="B31" s="4" t="s">
        <v>455</v>
      </c>
      <c r="C31" s="4"/>
      <c r="D31" s="4" t="n">
        <v>1</v>
      </c>
      <c r="E31" s="4" t="n">
        <v>16</v>
      </c>
      <c r="F31" s="23" t="n">
        <v>40.87</v>
      </c>
      <c r="G31" s="24" t="n">
        <f aca="false">IF(F31="","",E31*F31)</f>
        <v>653.92</v>
      </c>
      <c r="H31" s="25" t="s">
        <v>189</v>
      </c>
      <c r="I31" s="26"/>
      <c r="J31" s="26"/>
    </row>
    <row r="32" customFormat="false" ht="15" hidden="false" customHeight="true" outlineLevel="0" collapsed="false">
      <c r="A32" s="4" t="s">
        <v>456</v>
      </c>
      <c r="B32" s="4" t="s">
        <v>457</v>
      </c>
      <c r="C32" s="4"/>
      <c r="D32" s="4" t="n">
        <v>1</v>
      </c>
      <c r="E32" s="4" t="n">
        <v>1</v>
      </c>
      <c r="F32" s="23" t="n">
        <v>643.67</v>
      </c>
      <c r="G32" s="24" t="n">
        <f aca="false">IF(F32="","",E32*F32)</f>
        <v>643.67</v>
      </c>
      <c r="H32" s="25" t="s">
        <v>189</v>
      </c>
      <c r="I32" s="26"/>
      <c r="J32" s="26"/>
    </row>
    <row r="33" customFormat="false" ht="15" hidden="false" customHeight="true" outlineLevel="0" collapsed="false">
      <c r="A33" s="4" t="s">
        <v>458</v>
      </c>
      <c r="B33" s="4" t="s">
        <v>459</v>
      </c>
      <c r="C33" s="4"/>
      <c r="D33" s="4" t="n">
        <v>8</v>
      </c>
      <c r="E33" s="4" t="n">
        <v>28</v>
      </c>
      <c r="F33" s="23" t="n">
        <v>20.59</v>
      </c>
      <c r="G33" s="24" t="n">
        <f aca="false">IF(F33="","",E33*F33)</f>
        <v>576.52</v>
      </c>
      <c r="H33" s="25"/>
      <c r="I33" s="26"/>
      <c r="J33" s="26"/>
    </row>
    <row r="34" customFormat="false" ht="15" hidden="false" customHeight="true" outlineLevel="0" collapsed="false">
      <c r="A34" s="4" t="s">
        <v>460</v>
      </c>
      <c r="B34" s="4" t="s">
        <v>208</v>
      </c>
      <c r="C34" s="4"/>
      <c r="D34" s="4" t="n">
        <v>2</v>
      </c>
      <c r="E34" s="4" t="n">
        <v>31</v>
      </c>
      <c r="F34" s="23" t="n">
        <v>16.56</v>
      </c>
      <c r="G34" s="24" t="n">
        <f aca="false">IF(F34="","",E34*F34)</f>
        <v>513.36</v>
      </c>
      <c r="H34" s="25"/>
      <c r="I34" s="26"/>
      <c r="J34" s="26"/>
    </row>
    <row r="35" customFormat="false" ht="15" hidden="false" customHeight="true" outlineLevel="0" collapsed="false">
      <c r="A35" s="4" t="s">
        <v>461</v>
      </c>
      <c r="B35" s="4" t="s">
        <v>462</v>
      </c>
      <c r="C35" s="4"/>
      <c r="D35" s="4" t="n">
        <v>1</v>
      </c>
      <c r="E35" s="4" t="n">
        <v>1</v>
      </c>
      <c r="F35" s="23" t="n">
        <v>498.52</v>
      </c>
      <c r="G35" s="24" t="n">
        <f aca="false">IF(F35="","",E35*F35)</f>
        <v>498.52</v>
      </c>
      <c r="H35" s="25"/>
      <c r="I35" s="26"/>
      <c r="J35" s="26"/>
    </row>
    <row r="36" customFormat="false" ht="15" hidden="false" customHeight="true" outlineLevel="0" collapsed="false">
      <c r="A36" s="4" t="s">
        <v>463</v>
      </c>
      <c r="B36" s="4" t="s">
        <v>464</v>
      </c>
      <c r="C36" s="4"/>
      <c r="D36" s="4" t="n">
        <v>2</v>
      </c>
      <c r="E36" s="4" t="n">
        <v>7</v>
      </c>
      <c r="F36" s="23" t="n">
        <v>66.02</v>
      </c>
      <c r="G36" s="24" t="n">
        <f aca="false">IF(F36="","",E36*F36)</f>
        <v>462.14</v>
      </c>
      <c r="H36" s="25"/>
      <c r="I36" s="26"/>
      <c r="J36" s="26"/>
    </row>
    <row r="37" customFormat="false" ht="15" hidden="false" customHeight="true" outlineLevel="0" collapsed="false">
      <c r="A37" s="4" t="s">
        <v>465</v>
      </c>
      <c r="B37" s="4" t="s">
        <v>466</v>
      </c>
      <c r="C37" s="4"/>
      <c r="D37" s="4" t="n">
        <v>2</v>
      </c>
      <c r="E37" s="4" t="n">
        <v>307</v>
      </c>
      <c r="F37" s="23" t="n">
        <v>1.16</v>
      </c>
      <c r="G37" s="24" t="n">
        <f aca="false">IF(F37="","",E37*F37)</f>
        <v>356.12</v>
      </c>
      <c r="H37" s="25" t="s">
        <v>189</v>
      </c>
      <c r="I37" s="26"/>
      <c r="J37" s="26"/>
    </row>
    <row r="38" customFormat="false" ht="15" hidden="false" customHeight="true" outlineLevel="0" collapsed="false">
      <c r="A38" s="4" t="s">
        <v>467</v>
      </c>
      <c r="B38" s="4" t="s">
        <v>468</v>
      </c>
      <c r="C38" s="4"/>
      <c r="D38" s="4" t="n">
        <v>2</v>
      </c>
      <c r="E38" s="4" t="n">
        <v>3</v>
      </c>
      <c r="F38" s="23" t="n">
        <v>104.74</v>
      </c>
      <c r="G38" s="24" t="n">
        <f aca="false">IF(F38="","",E38*F38)</f>
        <v>314.22</v>
      </c>
      <c r="H38" s="25"/>
      <c r="I38" s="26"/>
      <c r="J38" s="26"/>
    </row>
    <row r="39" customFormat="false" ht="15" hidden="false" customHeight="true" outlineLevel="0" collapsed="false">
      <c r="A39" s="4" t="s">
        <v>469</v>
      </c>
      <c r="B39" s="4" t="s">
        <v>470</v>
      </c>
      <c r="C39" s="4"/>
      <c r="D39" s="4" t="n">
        <v>1</v>
      </c>
      <c r="E39" s="4" t="n">
        <v>12</v>
      </c>
      <c r="F39" s="23" t="n">
        <v>22.1</v>
      </c>
      <c r="G39" s="24" t="n">
        <f aca="false">IF(F39="","",E39*F39)</f>
        <v>265.2</v>
      </c>
      <c r="H39" s="25" t="s">
        <v>189</v>
      </c>
      <c r="I39" s="26"/>
      <c r="J39" s="26"/>
    </row>
    <row r="40" customFormat="false" ht="15" hidden="false" customHeight="true" outlineLevel="0" collapsed="false">
      <c r="A40" s="4" t="s">
        <v>471</v>
      </c>
      <c r="B40" s="4" t="s">
        <v>472</v>
      </c>
      <c r="C40" s="4"/>
      <c r="D40" s="4" t="n">
        <v>2</v>
      </c>
      <c r="E40" s="4" t="n">
        <v>4</v>
      </c>
      <c r="F40" s="23" t="n">
        <v>62.77</v>
      </c>
      <c r="G40" s="24" t="n">
        <f aca="false">IF(F40="","",E40*F40)</f>
        <v>251.08</v>
      </c>
      <c r="H40" s="25"/>
      <c r="I40" s="26"/>
      <c r="J40" s="26"/>
    </row>
    <row r="41" customFormat="false" ht="15" hidden="false" customHeight="true" outlineLevel="0" collapsed="false">
      <c r="A41" s="4" t="s">
        <v>473</v>
      </c>
      <c r="B41" s="4" t="s">
        <v>468</v>
      </c>
      <c r="C41" s="4"/>
      <c r="D41" s="4" t="n">
        <v>1</v>
      </c>
      <c r="E41" s="4" t="n">
        <v>2</v>
      </c>
      <c r="F41" s="23" t="n">
        <v>123.79</v>
      </c>
      <c r="G41" s="24" t="n">
        <f aca="false">IF(F41="","",E41*F41)</f>
        <v>247.58</v>
      </c>
      <c r="H41" s="25"/>
      <c r="I41" s="26"/>
      <c r="J41" s="26"/>
    </row>
    <row r="42" customFormat="false" ht="15" hidden="false" customHeight="true" outlineLevel="0" collapsed="false">
      <c r="A42" s="4" t="s">
        <v>474</v>
      </c>
      <c r="B42" s="4" t="s">
        <v>64</v>
      </c>
      <c r="C42" s="4"/>
      <c r="D42" s="4" t="n">
        <v>1</v>
      </c>
      <c r="E42" s="4" t="n">
        <v>1</v>
      </c>
      <c r="F42" s="23" t="n">
        <v>240.72</v>
      </c>
      <c r="G42" s="24" t="n">
        <f aca="false">IF(F42="","",E42*F42)</f>
        <v>240.72</v>
      </c>
      <c r="H42" s="25" t="s">
        <v>189</v>
      </c>
      <c r="I42" s="26"/>
      <c r="J42" s="26"/>
    </row>
    <row r="43" customFormat="false" ht="15" hidden="false" customHeight="true" outlineLevel="0" collapsed="false">
      <c r="A43" s="4" t="s">
        <v>475</v>
      </c>
      <c r="B43" s="4" t="s">
        <v>476</v>
      </c>
      <c r="C43" s="4"/>
      <c r="D43" s="4" t="n">
        <v>6</v>
      </c>
      <c r="E43" s="4" t="n">
        <v>22</v>
      </c>
      <c r="F43" s="23" t="n">
        <v>7.83</v>
      </c>
      <c r="G43" s="24" t="n">
        <f aca="false">IF(F43="","",E43*F43)</f>
        <v>172.26</v>
      </c>
      <c r="H43" s="25"/>
      <c r="I43" s="26"/>
      <c r="J43" s="26"/>
    </row>
    <row r="44" customFormat="false" ht="15" hidden="false" customHeight="true" outlineLevel="0" collapsed="false">
      <c r="A44" s="4" t="s">
        <v>477</v>
      </c>
      <c r="B44" s="4" t="s">
        <v>478</v>
      </c>
      <c r="C44" s="4"/>
      <c r="D44" s="4" t="n">
        <v>1</v>
      </c>
      <c r="E44" s="4" t="n">
        <v>1</v>
      </c>
      <c r="F44" s="23" t="n">
        <v>152.5</v>
      </c>
      <c r="G44" s="24" t="n">
        <f aca="false">IF(F44="","",E44*F44)</f>
        <v>152.5</v>
      </c>
      <c r="H44" s="25"/>
      <c r="I44" s="26"/>
      <c r="J44" s="26"/>
    </row>
    <row r="45" customFormat="false" ht="15" hidden="false" customHeight="true" outlineLevel="0" collapsed="false">
      <c r="A45" s="4" t="s">
        <v>479</v>
      </c>
      <c r="B45" s="4" t="s">
        <v>480</v>
      </c>
      <c r="C45" s="4"/>
      <c r="D45" s="4" t="n">
        <v>7</v>
      </c>
      <c r="E45" s="4" t="n">
        <v>160</v>
      </c>
      <c r="F45" s="23" t="n">
        <v>0.95</v>
      </c>
      <c r="G45" s="24" t="n">
        <f aca="false">IF(F45="","",E45*F45)</f>
        <v>152</v>
      </c>
      <c r="H45" s="25"/>
      <c r="I45" s="26"/>
      <c r="J45" s="26"/>
    </row>
    <row r="46" customFormat="false" ht="15" hidden="false" customHeight="true" outlineLevel="0" collapsed="false">
      <c r="A46" s="4" t="s">
        <v>481</v>
      </c>
      <c r="B46" s="4" t="s">
        <v>482</v>
      </c>
      <c r="C46" s="4"/>
      <c r="D46" s="4" t="n">
        <v>3</v>
      </c>
      <c r="E46" s="4" t="n">
        <v>5</v>
      </c>
      <c r="F46" s="23" t="n">
        <v>26.72</v>
      </c>
      <c r="G46" s="24" t="n">
        <f aca="false">IF(F46="","",E46*F46)</f>
        <v>133.6</v>
      </c>
      <c r="H46" s="25"/>
      <c r="I46" s="26"/>
      <c r="J46" s="26"/>
    </row>
    <row r="47" customFormat="false" ht="15" hidden="false" customHeight="true" outlineLevel="0" collapsed="false">
      <c r="A47" s="4" t="s">
        <v>483</v>
      </c>
      <c r="B47" s="4" t="s">
        <v>484</v>
      </c>
      <c r="C47" s="4"/>
      <c r="D47" s="4" t="n">
        <v>3</v>
      </c>
      <c r="E47" s="4" t="n">
        <v>122</v>
      </c>
      <c r="F47" s="23" t="n">
        <v>1.02</v>
      </c>
      <c r="G47" s="24" t="n">
        <f aca="false">IF(F47="","",E47*F47)</f>
        <v>124.44</v>
      </c>
      <c r="H47" s="25" t="s">
        <v>189</v>
      </c>
      <c r="I47" s="26"/>
      <c r="J47" s="26"/>
    </row>
    <row r="48" customFormat="false" ht="15" hidden="false" customHeight="true" outlineLevel="0" collapsed="false">
      <c r="A48" s="4" t="s">
        <v>485</v>
      </c>
      <c r="B48" s="4" t="s">
        <v>486</v>
      </c>
      <c r="C48" s="4"/>
      <c r="D48" s="4" t="n">
        <v>3</v>
      </c>
      <c r="E48" s="4" t="n">
        <v>231</v>
      </c>
      <c r="F48" s="23" t="n">
        <v>0.42</v>
      </c>
      <c r="G48" s="24" t="n">
        <f aca="false">IF(F48="","",E48*F48)</f>
        <v>97.02</v>
      </c>
      <c r="H48" s="25" t="s">
        <v>189</v>
      </c>
      <c r="I48" s="26"/>
      <c r="J48" s="26"/>
    </row>
    <row r="49" customFormat="false" ht="15" hidden="false" customHeight="true" outlineLevel="0" collapsed="false">
      <c r="A49" s="4" t="s">
        <v>487</v>
      </c>
      <c r="B49" s="4" t="s">
        <v>488</v>
      </c>
      <c r="C49" s="4"/>
      <c r="D49" s="4" t="n">
        <v>1</v>
      </c>
      <c r="E49" s="4" t="n">
        <v>1</v>
      </c>
      <c r="F49" s="23" t="n">
        <v>96.89</v>
      </c>
      <c r="G49" s="24" t="n">
        <f aca="false">IF(F49="","",E49*F49)</f>
        <v>96.89</v>
      </c>
      <c r="H49" s="25" t="s">
        <v>189</v>
      </c>
      <c r="I49" s="26"/>
      <c r="J49" s="26"/>
    </row>
    <row r="50" customFormat="false" ht="15" hidden="false" customHeight="true" outlineLevel="0" collapsed="false">
      <c r="A50" s="4" t="s">
        <v>489</v>
      </c>
      <c r="B50" s="4" t="s">
        <v>490</v>
      </c>
      <c r="C50" s="4"/>
      <c r="D50" s="4" t="n">
        <v>4</v>
      </c>
      <c r="E50" s="4" t="n">
        <v>14</v>
      </c>
      <c r="F50" s="23" t="n">
        <v>6.22</v>
      </c>
      <c r="G50" s="24" t="n">
        <f aca="false">IF(F50="","",E50*F50)</f>
        <v>87.08</v>
      </c>
      <c r="H50" s="25"/>
      <c r="I50" s="26"/>
      <c r="J50" s="26"/>
    </row>
    <row r="51" customFormat="false" ht="15" hidden="false" customHeight="true" outlineLevel="0" collapsed="false">
      <c r="A51" s="4" t="s">
        <v>491</v>
      </c>
      <c r="B51" s="4" t="s">
        <v>492</v>
      </c>
      <c r="C51" s="4"/>
      <c r="D51" s="4" t="n">
        <v>2</v>
      </c>
      <c r="E51" s="4" t="n">
        <v>2</v>
      </c>
      <c r="F51" s="23" t="n">
        <v>43.18</v>
      </c>
      <c r="G51" s="24" t="n">
        <f aca="false">IF(F51="","",E51*F51)</f>
        <v>86.36</v>
      </c>
      <c r="H51" s="25"/>
      <c r="I51" s="26"/>
      <c r="J51" s="26"/>
    </row>
    <row r="52" customFormat="false" ht="15" hidden="false" customHeight="true" outlineLevel="0" collapsed="false">
      <c r="A52" s="4" t="s">
        <v>493</v>
      </c>
      <c r="B52" s="4" t="s">
        <v>494</v>
      </c>
      <c r="C52" s="4"/>
      <c r="D52" s="4" t="n">
        <v>1</v>
      </c>
      <c r="E52" s="4" t="n">
        <v>18</v>
      </c>
      <c r="F52" s="23" t="n">
        <v>4.5</v>
      </c>
      <c r="G52" s="24" t="n">
        <f aca="false">IF(F52="","",E52*F52)</f>
        <v>81</v>
      </c>
      <c r="H52" s="25"/>
      <c r="I52" s="26"/>
      <c r="J52" s="26"/>
    </row>
    <row r="53" customFormat="false" ht="15" hidden="false" customHeight="true" outlineLevel="0" collapsed="false">
      <c r="A53" s="4" t="s">
        <v>495</v>
      </c>
      <c r="B53" s="4" t="s">
        <v>496</v>
      </c>
      <c r="C53" s="4"/>
      <c r="D53" s="4" t="n">
        <v>1</v>
      </c>
      <c r="E53" s="4" t="n">
        <v>3</v>
      </c>
      <c r="F53" s="23" t="n">
        <v>26.13</v>
      </c>
      <c r="G53" s="24" t="n">
        <f aca="false">IF(F53="","",E53*F53)</f>
        <v>78.39</v>
      </c>
      <c r="H53" s="25"/>
      <c r="I53" s="26"/>
      <c r="J53" s="26"/>
    </row>
    <row r="54" customFormat="false" ht="15" hidden="false" customHeight="true" outlineLevel="0" collapsed="false">
      <c r="A54" s="4" t="s">
        <v>497</v>
      </c>
      <c r="B54" s="4" t="s">
        <v>498</v>
      </c>
      <c r="C54" s="4"/>
      <c r="D54" s="4" t="n">
        <v>1</v>
      </c>
      <c r="E54" s="4" t="n">
        <v>16</v>
      </c>
      <c r="F54" s="23" t="n">
        <v>4.88</v>
      </c>
      <c r="G54" s="24" t="n">
        <f aca="false">IF(F54="","",E54*F54)</f>
        <v>78.08</v>
      </c>
      <c r="H54" s="25" t="s">
        <v>189</v>
      </c>
      <c r="I54" s="26"/>
      <c r="J54" s="26"/>
    </row>
    <row r="55" customFormat="false" ht="15" hidden="false" customHeight="true" outlineLevel="0" collapsed="false">
      <c r="A55" s="4" t="s">
        <v>499</v>
      </c>
      <c r="B55" s="4" t="s">
        <v>500</v>
      </c>
      <c r="C55" s="4"/>
      <c r="D55" s="4" t="n">
        <v>2</v>
      </c>
      <c r="E55" s="4" t="n">
        <v>5</v>
      </c>
      <c r="F55" s="23" t="n">
        <v>15.46</v>
      </c>
      <c r="G55" s="24" t="n">
        <f aca="false">IF(F55="","",E55*F55)</f>
        <v>77.3</v>
      </c>
      <c r="H55" s="25"/>
      <c r="I55" s="26"/>
      <c r="J55" s="26"/>
    </row>
    <row r="56" customFormat="false" ht="15" hidden="false" customHeight="true" outlineLevel="0" collapsed="false">
      <c r="A56" s="4" t="s">
        <v>501</v>
      </c>
      <c r="B56" s="4" t="s">
        <v>502</v>
      </c>
      <c r="C56" s="4"/>
      <c r="D56" s="4" t="n">
        <v>2</v>
      </c>
      <c r="E56" s="4" t="n">
        <v>2</v>
      </c>
      <c r="F56" s="23" t="n">
        <v>36</v>
      </c>
      <c r="G56" s="24" t="n">
        <f aca="false">IF(F56="","",E56*F56)</f>
        <v>72</v>
      </c>
      <c r="H56" s="25"/>
      <c r="I56" s="26"/>
      <c r="J56" s="26"/>
    </row>
    <row r="57" customFormat="false" ht="15" hidden="false" customHeight="true" outlineLevel="0" collapsed="false">
      <c r="A57" s="4" t="s">
        <v>503</v>
      </c>
      <c r="B57" s="4" t="s">
        <v>504</v>
      </c>
      <c r="C57" s="4"/>
      <c r="D57" s="4" t="n">
        <v>1</v>
      </c>
      <c r="E57" s="4" t="n">
        <v>8</v>
      </c>
      <c r="F57" s="23" t="n">
        <v>8.54</v>
      </c>
      <c r="G57" s="24" t="n">
        <f aca="false">IF(F57="","",E57*F57)</f>
        <v>68.32</v>
      </c>
      <c r="H57" s="25"/>
      <c r="I57" s="26"/>
      <c r="J57" s="26"/>
    </row>
    <row r="58" customFormat="false" ht="15" hidden="false" customHeight="true" outlineLevel="0" collapsed="false">
      <c r="A58" s="4" t="s">
        <v>505</v>
      </c>
      <c r="B58" s="4" t="s">
        <v>506</v>
      </c>
      <c r="C58" s="4"/>
      <c r="D58" s="4" t="n">
        <v>1</v>
      </c>
      <c r="E58" s="4" t="n">
        <v>4</v>
      </c>
      <c r="F58" s="23" t="n">
        <v>16.47</v>
      </c>
      <c r="G58" s="24" t="n">
        <f aca="false">IF(F58="","",E58*F58)</f>
        <v>65.88</v>
      </c>
      <c r="H58" s="25"/>
      <c r="I58" s="26"/>
      <c r="J58" s="26"/>
    </row>
    <row r="59" customFormat="false" ht="15" hidden="false" customHeight="true" outlineLevel="0" collapsed="false">
      <c r="A59" s="4" t="s">
        <v>507</v>
      </c>
      <c r="B59" s="4" t="s">
        <v>508</v>
      </c>
      <c r="C59" s="4"/>
      <c r="D59" s="4" t="n">
        <v>7</v>
      </c>
      <c r="E59" s="4" t="n">
        <v>126</v>
      </c>
      <c r="F59" s="23" t="n">
        <v>0.44</v>
      </c>
      <c r="G59" s="24" t="n">
        <f aca="false">IF(F59="","",E59*F59)</f>
        <v>55.44</v>
      </c>
      <c r="H59" s="25"/>
      <c r="I59" s="26"/>
      <c r="J59" s="26"/>
    </row>
    <row r="60" customFormat="false" ht="15" hidden="false" customHeight="true" outlineLevel="0" collapsed="false">
      <c r="A60" s="4" t="s">
        <v>509</v>
      </c>
      <c r="B60" s="4" t="s">
        <v>510</v>
      </c>
      <c r="C60" s="4"/>
      <c r="D60" s="4" t="n">
        <v>6</v>
      </c>
      <c r="E60" s="4" t="n">
        <v>36</v>
      </c>
      <c r="F60" s="23" t="n">
        <v>1.39</v>
      </c>
      <c r="G60" s="24" t="n">
        <f aca="false">IF(F60="","",E60*F60)</f>
        <v>50.04</v>
      </c>
      <c r="H60" s="25"/>
      <c r="I60" s="26"/>
      <c r="J60" s="26"/>
    </row>
    <row r="61" customFormat="false" ht="15" hidden="false" customHeight="true" outlineLevel="0" collapsed="false">
      <c r="A61" s="4" t="s">
        <v>511</v>
      </c>
      <c r="B61" s="4" t="s">
        <v>512</v>
      </c>
      <c r="C61" s="4"/>
      <c r="D61" s="4" t="n">
        <v>1</v>
      </c>
      <c r="E61" s="4" t="n">
        <v>3</v>
      </c>
      <c r="F61" s="23" t="n">
        <v>16.62</v>
      </c>
      <c r="G61" s="24" t="n">
        <f aca="false">IF(F61="","",E61*F61)</f>
        <v>49.86</v>
      </c>
      <c r="H61" s="25"/>
      <c r="I61" s="26"/>
      <c r="J61" s="26"/>
    </row>
    <row r="62" customFormat="false" ht="15" hidden="false" customHeight="true" outlineLevel="0" collapsed="false">
      <c r="A62" s="4" t="s">
        <v>513</v>
      </c>
      <c r="B62" s="4" t="s">
        <v>514</v>
      </c>
      <c r="C62" s="4"/>
      <c r="D62" s="4" t="n">
        <v>4</v>
      </c>
      <c r="E62" s="4" t="n">
        <v>18</v>
      </c>
      <c r="F62" s="23" t="n">
        <v>2.43</v>
      </c>
      <c r="G62" s="24" t="n">
        <f aca="false">IF(F62="","",E62*F62)</f>
        <v>43.74</v>
      </c>
      <c r="H62" s="25"/>
      <c r="I62" s="26"/>
      <c r="J62" s="26"/>
    </row>
    <row r="63" customFormat="false" ht="15" hidden="false" customHeight="true" outlineLevel="0" collapsed="false">
      <c r="A63" s="4" t="s">
        <v>515</v>
      </c>
      <c r="B63" s="4" t="s">
        <v>516</v>
      </c>
      <c r="C63" s="4"/>
      <c r="D63" s="4" t="n">
        <v>2</v>
      </c>
      <c r="E63" s="4" t="n">
        <v>5</v>
      </c>
      <c r="F63" s="23" t="n">
        <v>8.25</v>
      </c>
      <c r="G63" s="24" t="n">
        <f aca="false">IF(F63="","",E63*F63)</f>
        <v>41.25</v>
      </c>
      <c r="H63" s="25"/>
      <c r="I63" s="26"/>
      <c r="J63" s="26"/>
    </row>
    <row r="64" customFormat="false" ht="15" hidden="false" customHeight="true" outlineLevel="0" collapsed="false">
      <c r="A64" s="4" t="s">
        <v>517</v>
      </c>
      <c r="B64" s="4" t="s">
        <v>518</v>
      </c>
      <c r="C64" s="4"/>
      <c r="D64" s="4" t="n">
        <v>1</v>
      </c>
      <c r="E64" s="4" t="n">
        <v>3</v>
      </c>
      <c r="F64" s="23" t="n">
        <v>13.1</v>
      </c>
      <c r="G64" s="24" t="n">
        <f aca="false">IF(F64="","",E64*F64)</f>
        <v>39.3</v>
      </c>
      <c r="H64" s="25"/>
      <c r="I64" s="26"/>
      <c r="J64" s="26"/>
    </row>
    <row r="65" customFormat="false" ht="15" hidden="false" customHeight="true" outlineLevel="0" collapsed="false">
      <c r="A65" s="4" t="s">
        <v>519</v>
      </c>
      <c r="B65" s="4" t="s">
        <v>520</v>
      </c>
      <c r="C65" s="4"/>
      <c r="D65" s="4" t="n">
        <v>4</v>
      </c>
      <c r="E65" s="4" t="n">
        <v>31</v>
      </c>
      <c r="F65" s="23" t="n">
        <v>1.26</v>
      </c>
      <c r="G65" s="24" t="n">
        <f aca="false">IF(F65="","",E65*F65)</f>
        <v>39.06</v>
      </c>
      <c r="H65" s="25"/>
      <c r="I65" s="26"/>
      <c r="J65" s="26"/>
    </row>
    <row r="66" customFormat="false" ht="15" hidden="false" customHeight="true" outlineLevel="0" collapsed="false">
      <c r="A66" s="4" t="s">
        <v>521</v>
      </c>
      <c r="B66" s="4" t="s">
        <v>522</v>
      </c>
      <c r="C66" s="4"/>
      <c r="D66" s="4" t="n">
        <v>1</v>
      </c>
      <c r="E66" s="4" t="n">
        <v>3</v>
      </c>
      <c r="F66" s="23" t="n">
        <v>12.74</v>
      </c>
      <c r="G66" s="24" t="n">
        <f aca="false">IF(F66="","",E66*F66)</f>
        <v>38.22</v>
      </c>
      <c r="H66" s="25"/>
      <c r="I66" s="26"/>
      <c r="J66" s="26"/>
    </row>
    <row r="67" customFormat="false" ht="15" hidden="false" customHeight="true" outlineLevel="0" collapsed="false">
      <c r="A67" s="4" t="s">
        <v>523</v>
      </c>
      <c r="B67" s="4" t="s">
        <v>524</v>
      </c>
      <c r="C67" s="4"/>
      <c r="D67" s="4" t="n">
        <v>1</v>
      </c>
      <c r="E67" s="4" t="n">
        <v>8</v>
      </c>
      <c r="F67" s="23" t="n">
        <v>4.11</v>
      </c>
      <c r="G67" s="24" t="n">
        <f aca="false">IF(F67="","",E67*F67)</f>
        <v>32.88</v>
      </c>
      <c r="H67" s="25"/>
      <c r="I67" s="26"/>
      <c r="J67" s="26"/>
    </row>
    <row r="68" customFormat="false" ht="15" hidden="false" customHeight="true" outlineLevel="0" collapsed="false">
      <c r="A68" s="4" t="s">
        <v>525</v>
      </c>
      <c r="B68" s="4" t="s">
        <v>526</v>
      </c>
      <c r="C68" s="4"/>
      <c r="D68" s="4" t="n">
        <v>2</v>
      </c>
      <c r="E68" s="4" t="n">
        <v>10</v>
      </c>
      <c r="F68" s="23" t="n">
        <v>2.93</v>
      </c>
      <c r="G68" s="24" t="n">
        <f aca="false">IF(F68="","",E68*F68)</f>
        <v>29.3</v>
      </c>
      <c r="H68" s="25"/>
      <c r="I68" s="26"/>
      <c r="J68" s="26"/>
    </row>
    <row r="69" customFormat="false" ht="15" hidden="false" customHeight="true" outlineLevel="0" collapsed="false">
      <c r="A69" s="4" t="s">
        <v>527</v>
      </c>
      <c r="B69" s="4" t="s">
        <v>528</v>
      </c>
      <c r="C69" s="4"/>
      <c r="D69" s="4" t="n">
        <v>2</v>
      </c>
      <c r="E69" s="4" t="n">
        <v>5</v>
      </c>
      <c r="F69" s="23" t="n">
        <v>5.21</v>
      </c>
      <c r="G69" s="24" t="n">
        <f aca="false">IF(F69="","",E69*F69)</f>
        <v>26.05</v>
      </c>
      <c r="H69" s="25"/>
      <c r="I69" s="26"/>
      <c r="J69" s="26"/>
    </row>
    <row r="70" customFormat="false" ht="15" hidden="false" customHeight="true" outlineLevel="0" collapsed="false">
      <c r="A70" s="4" t="s">
        <v>529</v>
      </c>
      <c r="B70" s="4" t="s">
        <v>530</v>
      </c>
      <c r="C70" s="4"/>
      <c r="D70" s="4" t="n">
        <v>1</v>
      </c>
      <c r="E70" s="4" t="n">
        <v>8</v>
      </c>
      <c r="F70" s="23" t="n">
        <v>3.25</v>
      </c>
      <c r="G70" s="24" t="n">
        <f aca="false">IF(F70="","",E70*F70)</f>
        <v>26</v>
      </c>
      <c r="H70" s="25"/>
      <c r="I70" s="26"/>
      <c r="J70" s="26"/>
    </row>
    <row r="71" customFormat="false" ht="15" hidden="false" customHeight="true" outlineLevel="0" collapsed="false">
      <c r="A71" s="4" t="s">
        <v>531</v>
      </c>
      <c r="B71" s="4" t="s">
        <v>532</v>
      </c>
      <c r="C71" s="4"/>
      <c r="D71" s="4" t="n">
        <v>1</v>
      </c>
      <c r="E71" s="4" t="n">
        <v>4</v>
      </c>
      <c r="F71" s="23" t="n">
        <v>5.16</v>
      </c>
      <c r="G71" s="24" t="n">
        <f aca="false">IF(F71="","",E71*F71)</f>
        <v>20.64</v>
      </c>
      <c r="H71" s="25"/>
      <c r="I71" s="26"/>
      <c r="J71" s="26"/>
    </row>
    <row r="72" customFormat="false" ht="15" hidden="false" customHeight="true" outlineLevel="0" collapsed="false">
      <c r="A72" s="4" t="s">
        <v>533</v>
      </c>
      <c r="B72" s="4" t="s">
        <v>534</v>
      </c>
      <c r="C72" s="4"/>
      <c r="D72" s="4" t="n">
        <v>3</v>
      </c>
      <c r="E72" s="4" t="n">
        <v>10</v>
      </c>
      <c r="F72" s="23" t="n">
        <v>1.98</v>
      </c>
      <c r="G72" s="24" t="n">
        <f aca="false">IF(F72="","",E72*F72)</f>
        <v>19.8</v>
      </c>
      <c r="H72" s="25"/>
      <c r="I72" s="26"/>
      <c r="J72" s="26"/>
    </row>
    <row r="73" customFormat="false" ht="15" hidden="false" customHeight="true" outlineLevel="0" collapsed="false">
      <c r="A73" s="4" t="s">
        <v>535</v>
      </c>
      <c r="B73" s="4" t="s">
        <v>536</v>
      </c>
      <c r="C73" s="4"/>
      <c r="D73" s="4" t="n">
        <v>1</v>
      </c>
      <c r="E73" s="4" t="n">
        <v>8</v>
      </c>
      <c r="F73" s="23" t="n">
        <v>2.45</v>
      </c>
      <c r="G73" s="24" t="n">
        <f aca="false">IF(F73="","",E73*F73)</f>
        <v>19.6</v>
      </c>
      <c r="H73" s="25"/>
      <c r="I73" s="26"/>
      <c r="J73" s="26"/>
    </row>
    <row r="74" customFormat="false" ht="15" hidden="false" customHeight="true" outlineLevel="0" collapsed="false">
      <c r="A74" s="4" t="s">
        <v>537</v>
      </c>
      <c r="B74" s="4" t="s">
        <v>538</v>
      </c>
      <c r="C74" s="4"/>
      <c r="D74" s="4" t="n">
        <v>1</v>
      </c>
      <c r="E74" s="4" t="n">
        <v>150</v>
      </c>
      <c r="F74" s="23" t="n">
        <v>0.12</v>
      </c>
      <c r="G74" s="24" t="n">
        <f aca="false">IF(F74="","",E74*F74)</f>
        <v>18</v>
      </c>
      <c r="H74" s="25"/>
      <c r="I74" s="26"/>
      <c r="J74" s="26"/>
    </row>
    <row r="75" customFormat="false" ht="15" hidden="false" customHeight="true" outlineLevel="0" collapsed="false">
      <c r="A75" s="4" t="s">
        <v>539</v>
      </c>
      <c r="B75" s="4" t="s">
        <v>540</v>
      </c>
      <c r="C75" s="4"/>
      <c r="D75" s="4" t="n">
        <v>4</v>
      </c>
      <c r="E75" s="4" t="n">
        <v>18</v>
      </c>
      <c r="F75" s="23" t="n">
        <v>0.99</v>
      </c>
      <c r="G75" s="24" t="n">
        <f aca="false">IF(F75="","",E75*F75)</f>
        <v>17.82</v>
      </c>
      <c r="H75" s="25"/>
      <c r="I75" s="26"/>
      <c r="J75" s="26"/>
    </row>
    <row r="76" customFormat="false" ht="15" hidden="false" customHeight="true" outlineLevel="0" collapsed="false">
      <c r="A76" s="4" t="s">
        <v>541</v>
      </c>
      <c r="B76" s="4" t="s">
        <v>542</v>
      </c>
      <c r="C76" s="4"/>
      <c r="D76" s="4" t="n">
        <v>1</v>
      </c>
      <c r="E76" s="4" t="n">
        <v>2</v>
      </c>
      <c r="F76" s="23" t="n">
        <v>7.85</v>
      </c>
      <c r="G76" s="24" t="n">
        <f aca="false">IF(F76="","",E76*F76)</f>
        <v>15.7</v>
      </c>
      <c r="H76" s="25"/>
      <c r="I76" s="26"/>
      <c r="J76" s="26"/>
    </row>
    <row r="77" customFormat="false" ht="15" hidden="false" customHeight="true" outlineLevel="0" collapsed="false">
      <c r="A77" s="4" t="s">
        <v>543</v>
      </c>
      <c r="B77" s="4" t="s">
        <v>544</v>
      </c>
      <c r="C77" s="4"/>
      <c r="D77" s="4" t="n">
        <v>1</v>
      </c>
      <c r="E77" s="4" t="n">
        <v>1</v>
      </c>
      <c r="F77" s="23" t="n">
        <v>14.99</v>
      </c>
      <c r="G77" s="24" t="n">
        <f aca="false">IF(F77="","",E77*F77)</f>
        <v>14.99</v>
      </c>
      <c r="H77" s="25"/>
      <c r="I77" s="26"/>
      <c r="J77" s="26"/>
    </row>
    <row r="78" customFormat="false" ht="15" hidden="false" customHeight="true" outlineLevel="0" collapsed="false">
      <c r="A78" s="4" t="s">
        <v>545</v>
      </c>
      <c r="B78" s="4" t="s">
        <v>546</v>
      </c>
      <c r="C78" s="4"/>
      <c r="D78" s="4" t="n">
        <v>2</v>
      </c>
      <c r="E78" s="4" t="n">
        <v>4</v>
      </c>
      <c r="F78" s="23" t="n">
        <v>3.04</v>
      </c>
      <c r="G78" s="24" t="n">
        <f aca="false">IF(F78="","",E78*F78)</f>
        <v>12.16</v>
      </c>
      <c r="H78" s="25"/>
      <c r="I78" s="26"/>
      <c r="J78" s="26"/>
    </row>
    <row r="79" customFormat="false" ht="15" hidden="false" customHeight="true" outlineLevel="0" collapsed="false">
      <c r="A79" s="4" t="s">
        <v>547</v>
      </c>
      <c r="B79" s="4" t="s">
        <v>548</v>
      </c>
      <c r="C79" s="4"/>
      <c r="D79" s="4" t="n">
        <v>2</v>
      </c>
      <c r="E79" s="4" t="n">
        <v>4</v>
      </c>
      <c r="F79" s="23" t="n">
        <v>2.75</v>
      </c>
      <c r="G79" s="24" t="n">
        <f aca="false">IF(F79="","",E79*F79)</f>
        <v>11</v>
      </c>
      <c r="H79" s="25"/>
      <c r="I79" s="26"/>
      <c r="J79" s="26"/>
    </row>
    <row r="80" customFormat="false" ht="15" hidden="false" customHeight="true" outlineLevel="0" collapsed="false">
      <c r="A80" s="4" t="s">
        <v>549</v>
      </c>
      <c r="B80" s="4" t="s">
        <v>550</v>
      </c>
      <c r="C80" s="4"/>
      <c r="D80" s="4" t="n">
        <v>7</v>
      </c>
      <c r="E80" s="4" t="n">
        <v>28</v>
      </c>
      <c r="F80" s="23" t="n">
        <v>0.35</v>
      </c>
      <c r="G80" s="24" t="n">
        <f aca="false">IF(F80="","",E80*F80)</f>
        <v>9.8</v>
      </c>
      <c r="H80" s="25"/>
      <c r="I80" s="26"/>
      <c r="J80" s="26"/>
    </row>
    <row r="81" customFormat="false" ht="15" hidden="false" customHeight="true" outlineLevel="0" collapsed="false">
      <c r="A81" s="4" t="s">
        <v>551</v>
      </c>
      <c r="B81" s="4" t="s">
        <v>552</v>
      </c>
      <c r="C81" s="4"/>
      <c r="D81" s="4" t="n">
        <v>1</v>
      </c>
      <c r="E81" s="4" t="n">
        <v>1</v>
      </c>
      <c r="F81" s="23" t="n">
        <v>9.1</v>
      </c>
      <c r="G81" s="24" t="n">
        <f aca="false">IF(F81="","",E81*F81)</f>
        <v>9.1</v>
      </c>
      <c r="H81" s="25"/>
      <c r="I81" s="26"/>
      <c r="J81" s="26"/>
    </row>
    <row r="82" customFormat="false" ht="15" hidden="false" customHeight="true" outlineLevel="0" collapsed="false">
      <c r="A82" s="4" t="s">
        <v>553</v>
      </c>
      <c r="B82" s="4" t="s">
        <v>554</v>
      </c>
      <c r="C82" s="4"/>
      <c r="D82" s="4" t="n">
        <v>1</v>
      </c>
      <c r="E82" s="4" t="n">
        <v>1</v>
      </c>
      <c r="F82" s="23" t="n">
        <v>8.86</v>
      </c>
      <c r="G82" s="24" t="n">
        <f aca="false">IF(F82="","",E82*F82)</f>
        <v>8.86</v>
      </c>
      <c r="H82" s="25"/>
      <c r="I82" s="26"/>
      <c r="J82" s="26"/>
    </row>
    <row r="83" customFormat="false" ht="15" hidden="false" customHeight="true" outlineLevel="0" collapsed="false">
      <c r="A83" s="4" t="s">
        <v>555</v>
      </c>
      <c r="B83" s="4" t="s">
        <v>556</v>
      </c>
      <c r="C83" s="4"/>
      <c r="D83" s="4" t="n">
        <v>1</v>
      </c>
      <c r="E83" s="4" t="n">
        <v>1</v>
      </c>
      <c r="F83" s="23" t="n">
        <v>8.73</v>
      </c>
      <c r="G83" s="24" t="n">
        <f aca="false">IF(F83="","",E83*F83)</f>
        <v>8.73</v>
      </c>
      <c r="H83" s="25"/>
      <c r="I83" s="26"/>
      <c r="J83" s="26"/>
    </row>
    <row r="84" customFormat="false" ht="15" hidden="false" customHeight="true" outlineLevel="0" collapsed="false">
      <c r="A84" s="4" t="s">
        <v>557</v>
      </c>
      <c r="B84" s="4" t="s">
        <v>558</v>
      </c>
      <c r="C84" s="4"/>
      <c r="D84" s="4" t="n">
        <v>4</v>
      </c>
      <c r="E84" s="4" t="n">
        <v>22</v>
      </c>
      <c r="F84" s="23" t="n">
        <v>0.33</v>
      </c>
      <c r="G84" s="24" t="n">
        <f aca="false">IF(F84="","",E84*F84)</f>
        <v>7.26</v>
      </c>
      <c r="H84" s="25"/>
      <c r="I84" s="26"/>
      <c r="J84" s="26"/>
    </row>
    <row r="85" customFormat="false" ht="15" hidden="false" customHeight="true" outlineLevel="0" collapsed="false">
      <c r="A85" s="4" t="s">
        <v>559</v>
      </c>
      <c r="B85" s="4" t="s">
        <v>560</v>
      </c>
      <c r="C85" s="4"/>
      <c r="D85" s="4" t="n">
        <v>1</v>
      </c>
      <c r="E85" s="4" t="n">
        <v>2</v>
      </c>
      <c r="F85" s="23" t="n">
        <v>3.39</v>
      </c>
      <c r="G85" s="24" t="n">
        <f aca="false">IF(F85="","",E85*F85)</f>
        <v>6.78</v>
      </c>
      <c r="H85" s="25"/>
      <c r="I85" s="26"/>
      <c r="J85" s="26"/>
    </row>
    <row r="86" customFormat="false" ht="15" hidden="false" customHeight="true" outlineLevel="0" collapsed="false">
      <c r="A86" s="4" t="s">
        <v>561</v>
      </c>
      <c r="B86" s="4" t="s">
        <v>562</v>
      </c>
      <c r="C86" s="4"/>
      <c r="D86" s="4" t="n">
        <v>1</v>
      </c>
      <c r="E86" s="4" t="n">
        <v>3</v>
      </c>
      <c r="F86" s="23" t="n">
        <v>2.07</v>
      </c>
      <c r="G86" s="24" t="n">
        <f aca="false">IF(F86="","",E86*F86)</f>
        <v>6.21</v>
      </c>
      <c r="H86" s="25"/>
      <c r="I86" s="26"/>
      <c r="J86" s="26"/>
    </row>
    <row r="87" customFormat="false" ht="15" hidden="false" customHeight="true" outlineLevel="0" collapsed="false">
      <c r="A87" s="4" t="s">
        <v>563</v>
      </c>
      <c r="B87" s="4" t="s">
        <v>564</v>
      </c>
      <c r="C87" s="4"/>
      <c r="D87" s="4" t="n">
        <v>1</v>
      </c>
      <c r="E87" s="4" t="n">
        <v>4</v>
      </c>
      <c r="F87" s="23" t="n">
        <v>1.49</v>
      </c>
      <c r="G87" s="24" t="n">
        <f aca="false">IF(F87="","",E87*F87)</f>
        <v>5.96</v>
      </c>
      <c r="H87" s="25" t="s">
        <v>189</v>
      </c>
      <c r="I87" s="26"/>
      <c r="J87" s="26"/>
    </row>
    <row r="88" customFormat="false" ht="15" hidden="false" customHeight="true" outlineLevel="0" collapsed="false">
      <c r="A88" s="4" t="s">
        <v>565</v>
      </c>
      <c r="B88" s="4" t="s">
        <v>566</v>
      </c>
      <c r="C88" s="4"/>
      <c r="D88" s="4" t="n">
        <v>4</v>
      </c>
      <c r="E88" s="4" t="n">
        <v>12</v>
      </c>
      <c r="F88" s="23" t="n">
        <v>0.46</v>
      </c>
      <c r="G88" s="24" t="n">
        <f aca="false">IF(F88="","",E88*F88)</f>
        <v>5.52</v>
      </c>
      <c r="H88" s="25"/>
      <c r="I88" s="26"/>
      <c r="J88" s="26"/>
    </row>
    <row r="89" customFormat="false" ht="15" hidden="false" customHeight="true" outlineLevel="0" collapsed="false">
      <c r="A89" s="4" t="s">
        <v>567</v>
      </c>
      <c r="B89" s="4" t="s">
        <v>568</v>
      </c>
      <c r="C89" s="4"/>
      <c r="D89" s="4" t="n">
        <v>1</v>
      </c>
      <c r="E89" s="4" t="n">
        <v>1</v>
      </c>
      <c r="F89" s="23" t="n">
        <v>5.49</v>
      </c>
      <c r="G89" s="24" t="n">
        <f aca="false">IF(F89="","",E89*F89)</f>
        <v>5.49</v>
      </c>
      <c r="H89" s="25"/>
      <c r="I89" s="26"/>
      <c r="J89" s="26"/>
    </row>
    <row r="90" customFormat="false" ht="15" hidden="false" customHeight="true" outlineLevel="0" collapsed="false">
      <c r="A90" s="4" t="s">
        <v>569</v>
      </c>
      <c r="B90" s="4" t="s">
        <v>570</v>
      </c>
      <c r="C90" s="4"/>
      <c r="D90" s="4" t="n">
        <v>1</v>
      </c>
      <c r="E90" s="4" t="n">
        <v>3</v>
      </c>
      <c r="F90" s="23" t="n">
        <v>1</v>
      </c>
      <c r="G90" s="24" t="n">
        <f aca="false">IF(F90="","",E90*F90)</f>
        <v>3</v>
      </c>
      <c r="H90" s="25"/>
      <c r="I90" s="26"/>
      <c r="J90" s="26"/>
    </row>
    <row r="91" customFormat="false" ht="15" hidden="false" customHeight="true" outlineLevel="0" collapsed="false">
      <c r="A91" s="4" t="s">
        <v>571</v>
      </c>
      <c r="B91" s="4" t="s">
        <v>572</v>
      </c>
      <c r="C91" s="4"/>
      <c r="D91" s="4" t="n">
        <v>1</v>
      </c>
      <c r="E91" s="4" t="n">
        <v>3</v>
      </c>
      <c r="F91" s="23" t="n">
        <v>0.6</v>
      </c>
      <c r="G91" s="24" t="n">
        <f aca="false">IF(F91="","",E91*F91)</f>
        <v>1.8</v>
      </c>
      <c r="H91" s="25"/>
      <c r="I91" s="26"/>
      <c r="J91" s="26"/>
    </row>
    <row r="92" customFormat="false" ht="15" hidden="false" customHeight="true" outlineLevel="0" collapsed="false">
      <c r="A92" s="4" t="s">
        <v>573</v>
      </c>
      <c r="B92" s="4" t="s">
        <v>572</v>
      </c>
      <c r="C92" s="4"/>
      <c r="D92" s="4" t="n">
        <v>1</v>
      </c>
      <c r="E92" s="4" t="n">
        <v>3</v>
      </c>
      <c r="F92" s="23" t="n">
        <v>0.56</v>
      </c>
      <c r="G92" s="24" t="n">
        <f aca="false">IF(F92="","",E92*F92)</f>
        <v>1.68</v>
      </c>
      <c r="H92" s="25"/>
      <c r="I92" s="26"/>
      <c r="J92" s="26"/>
    </row>
    <row r="93" customFormat="false" ht="15" hidden="false" customHeight="true" outlineLevel="0" collapsed="false">
      <c r="A93" s="4" t="s">
        <v>574</v>
      </c>
      <c r="B93" s="4" t="s">
        <v>572</v>
      </c>
      <c r="C93" s="4"/>
      <c r="D93" s="4" t="n">
        <v>1</v>
      </c>
      <c r="E93" s="4" t="n">
        <v>3</v>
      </c>
      <c r="F93" s="23" t="n">
        <v>0.55</v>
      </c>
      <c r="G93" s="24" t="n">
        <f aca="false">IF(F93="","",E93*F93)</f>
        <v>1.65</v>
      </c>
      <c r="H93" s="25"/>
      <c r="I93" s="26"/>
      <c r="J93" s="26"/>
    </row>
    <row r="94" customFormat="false" ht="15" hidden="false" customHeight="true" outlineLevel="0" collapsed="false">
      <c r="A94" s="4" t="s">
        <v>575</v>
      </c>
      <c r="B94" s="4" t="s">
        <v>576</v>
      </c>
      <c r="C94" s="4"/>
      <c r="D94" s="4" t="n">
        <v>1</v>
      </c>
      <c r="E94" s="4" t="n">
        <v>1</v>
      </c>
      <c r="F94" s="23" t="n">
        <v>1.5</v>
      </c>
      <c r="G94" s="24" t="n">
        <f aca="false">IF(F94="","",E94*F94)</f>
        <v>1.5</v>
      </c>
      <c r="H94" s="25"/>
      <c r="I94" s="26"/>
      <c r="J94" s="26"/>
    </row>
    <row r="95" customFormat="false" ht="15" hidden="false" customHeight="true" outlineLevel="0" collapsed="false">
      <c r="A95" s="4" t="s">
        <v>577</v>
      </c>
      <c r="B95" s="4" t="s">
        <v>570</v>
      </c>
      <c r="C95" s="4"/>
      <c r="D95" s="4" t="n">
        <v>1</v>
      </c>
      <c r="E95" s="4" t="n">
        <v>1</v>
      </c>
      <c r="F95" s="23" t="n">
        <v>1</v>
      </c>
      <c r="G95" s="24" t="n">
        <f aca="false">IF(F95="","",E95*F95)</f>
        <v>1</v>
      </c>
      <c r="H95" s="25"/>
      <c r="I95" s="26"/>
      <c r="J95" s="26"/>
    </row>
    <row r="96" customFormat="false" ht="15" hidden="false" customHeight="true" outlineLevel="0" collapsed="false">
      <c r="A96" s="4" t="s">
        <v>578</v>
      </c>
      <c r="B96" s="4" t="s">
        <v>284</v>
      </c>
      <c r="C96" s="4"/>
      <c r="D96" s="4" t="n">
        <v>1</v>
      </c>
      <c r="E96" s="4" t="n">
        <v>1</v>
      </c>
      <c r="F96" s="23" t="n">
        <v>0.77</v>
      </c>
      <c r="G96" s="24" t="n">
        <f aca="false">IF(F96="","",E96*F96)</f>
        <v>0.77</v>
      </c>
      <c r="H96" s="25"/>
      <c r="I96" s="26"/>
      <c r="J96" s="26"/>
    </row>
    <row r="97" customFormat="false" ht="15" hidden="false" customHeight="true" outlineLevel="0" collapsed="false">
      <c r="A97" s="4" t="s">
        <v>579</v>
      </c>
      <c r="B97" s="4" t="s">
        <v>580</v>
      </c>
      <c r="C97" s="4"/>
      <c r="D97" s="4" t="n">
        <v>1</v>
      </c>
      <c r="E97" s="4" t="n">
        <v>1</v>
      </c>
      <c r="F97" s="23" t="n">
        <v>0.3</v>
      </c>
      <c r="G97" s="24" t="n">
        <f aca="false">IF(F97="","",E97*F97)</f>
        <v>0.3</v>
      </c>
      <c r="H97" s="25" t="s">
        <v>189</v>
      </c>
      <c r="I97" s="26"/>
      <c r="J97" s="26"/>
    </row>
    <row r="98" customFormat="false" ht="15" hidden="false" customHeight="true" outlineLevel="0" collapsed="false">
      <c r="B98" s="6" t="s">
        <v>313</v>
      </c>
      <c r="G98" s="27" t="n">
        <f aca="false">SUM(G5:G97)</f>
        <v>322088.31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93D4"/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6"/>
    <col collapsed="false" customWidth="true" hidden="false" outlineLevel="0" max="7" min="3" style="1" width="13"/>
    <col collapsed="false" customWidth="true" hidden="false" outlineLevel="0" max="9" min="8" style="1" width="15"/>
    <col collapsed="false" customWidth="true" hidden="false" outlineLevel="0" max="10" min="10" style="1" width="60"/>
  </cols>
  <sheetData>
    <row r="1" customFormat="false" ht="15" hidden="false" customHeight="true" outlineLevel="0" collapsed="false">
      <c r="A1" s="21" t="s">
        <v>581</v>
      </c>
    </row>
    <row r="2" customFormat="false" ht="15" hidden="false" customHeight="true" outlineLevel="0" collapsed="false">
      <c r="A2" s="22" t="s">
        <v>582</v>
      </c>
    </row>
    <row r="4" customFormat="false" ht="15" hidden="false" customHeight="true" outlineLevel="0" collapsed="false">
      <c r="A4" s="10" t="s">
        <v>583</v>
      </c>
      <c r="B4" s="10" t="s">
        <v>584</v>
      </c>
      <c r="C4" s="10" t="s">
        <v>585</v>
      </c>
      <c r="D4" s="10" t="s">
        <v>586</v>
      </c>
      <c r="E4" s="10" t="s">
        <v>587</v>
      </c>
      <c r="F4" s="10" t="s">
        <v>588</v>
      </c>
      <c r="G4" s="10" t="s">
        <v>589</v>
      </c>
      <c r="H4" s="10" t="s">
        <v>590</v>
      </c>
      <c r="I4" s="10" t="s">
        <v>591</v>
      </c>
      <c r="J4" s="10" t="s">
        <v>138</v>
      </c>
    </row>
    <row r="5" customFormat="false" ht="15" hidden="false" customHeight="true" outlineLevel="0" collapsed="false">
      <c r="A5" s="4" t="s">
        <v>592</v>
      </c>
      <c r="B5" s="4" t="n">
        <v>3</v>
      </c>
      <c r="C5" s="28" t="n">
        <v>339027.28</v>
      </c>
      <c r="D5" s="28" t="n">
        <v>-72273.96</v>
      </c>
      <c r="E5" s="28" t="n">
        <v>266753.32</v>
      </c>
      <c r="F5" s="28" t="n">
        <v>48301.95</v>
      </c>
      <c r="G5" s="28" t="n">
        <v>218451.08</v>
      </c>
      <c r="H5" s="28"/>
      <c r="I5" s="29" t="str">
        <f aca="false">IF(OR(E5="",H5=""),"",E5-H5)</f>
        <v/>
      </c>
      <c r="J5" s="30" t="s">
        <v>593</v>
      </c>
    </row>
    <row r="6" customFormat="false" ht="15" hidden="false" customHeight="true" outlineLevel="0" collapsed="false">
      <c r="A6" s="4" t="s">
        <v>594</v>
      </c>
      <c r="B6" s="4" t="n">
        <v>2</v>
      </c>
      <c r="C6" s="28" t="n">
        <v>89207.76</v>
      </c>
      <c r="D6" s="28" t="n">
        <v>0</v>
      </c>
      <c r="E6" s="28" t="n">
        <v>89207.76</v>
      </c>
      <c r="F6" s="28" t="n">
        <v>77933.08</v>
      </c>
      <c r="G6" s="28" t="n">
        <v>11274.68</v>
      </c>
      <c r="H6" s="28" t="n">
        <v>143455.15</v>
      </c>
      <c r="I6" s="29" t="n">
        <f aca="false">IF(OR(E6="",H6=""),"",E6-H6)</f>
        <v>-54247.39</v>
      </c>
      <c r="J6" s="30"/>
    </row>
    <row r="7" customFormat="false" ht="15" hidden="false" customHeight="true" outlineLevel="0" collapsed="false">
      <c r="A7" s="4" t="s">
        <v>595</v>
      </c>
      <c r="B7" s="4" t="n">
        <v>1</v>
      </c>
      <c r="C7" s="28" t="n">
        <v>51330.84</v>
      </c>
      <c r="D7" s="28" t="n">
        <v>143.95</v>
      </c>
      <c r="E7" s="28" t="n">
        <v>51474.79</v>
      </c>
      <c r="F7" s="28" t="n">
        <v>51474.79</v>
      </c>
      <c r="G7" s="28" t="n">
        <v>0</v>
      </c>
      <c r="H7" s="28" t="n">
        <v>114600.29</v>
      </c>
      <c r="I7" s="29" t="n">
        <f aca="false">IF(OR(E7="",H7=""),"",E7-H7)</f>
        <v>-63125.5</v>
      </c>
      <c r="J7" s="30"/>
    </row>
    <row r="8" customFormat="false" ht="15" hidden="false" customHeight="true" outlineLevel="0" collapsed="false">
      <c r="A8" s="4" t="s">
        <v>596</v>
      </c>
      <c r="B8" s="4" t="n">
        <v>2</v>
      </c>
      <c r="C8" s="28" t="n">
        <v>62027.79</v>
      </c>
      <c r="D8" s="28" t="n">
        <v>0</v>
      </c>
      <c r="E8" s="28" t="n">
        <v>62027.79</v>
      </c>
      <c r="F8" s="28" t="n">
        <v>52653.07</v>
      </c>
      <c r="G8" s="28" t="n">
        <v>9374.72</v>
      </c>
      <c r="H8" s="28" t="n">
        <v>113119.61</v>
      </c>
      <c r="I8" s="29" t="n">
        <f aca="false">IF(OR(E8="",H8=""),"",E8-H8)</f>
        <v>-51091.82</v>
      </c>
      <c r="J8" s="30"/>
    </row>
    <row r="9" customFormat="false" ht="15" hidden="false" customHeight="true" outlineLevel="0" collapsed="false">
      <c r="A9" s="4" t="s">
        <v>597</v>
      </c>
      <c r="B9" s="4" t="n">
        <v>1</v>
      </c>
      <c r="C9" s="28" t="n">
        <v>34392.61</v>
      </c>
      <c r="D9" s="28" t="n">
        <v>0</v>
      </c>
      <c r="E9" s="28" t="n">
        <v>34392.61</v>
      </c>
      <c r="F9" s="28" t="n">
        <v>31846.92</v>
      </c>
      <c r="G9" s="28" t="n">
        <v>2545.69</v>
      </c>
      <c r="H9" s="28" t="n">
        <v>181388.96</v>
      </c>
      <c r="I9" s="29" t="n">
        <f aca="false">IF(OR(E9="",H9=""),"",E9-H9)</f>
        <v>-146996.35</v>
      </c>
      <c r="J9" s="30"/>
    </row>
    <row r="10" customFormat="false" ht="15" hidden="false" customHeight="true" outlineLevel="0" collapsed="false">
      <c r="A10" s="4" t="s">
        <v>598</v>
      </c>
      <c r="B10" s="4" t="n">
        <v>2</v>
      </c>
      <c r="C10" s="28" t="n">
        <v>45389.08</v>
      </c>
      <c r="D10" s="28" t="n">
        <v>0</v>
      </c>
      <c r="E10" s="28" t="n">
        <v>45389.08</v>
      </c>
      <c r="F10" s="28" t="n">
        <v>30739.26</v>
      </c>
      <c r="G10" s="28" t="n">
        <v>14649.82</v>
      </c>
      <c r="H10" s="28" t="n">
        <v>107363.49</v>
      </c>
      <c r="I10" s="29" t="n">
        <f aca="false">IF(OR(E10="",H10=""),"",E10-H10)</f>
        <v>-61974.41</v>
      </c>
      <c r="J10" s="30"/>
    </row>
    <row r="11" customFormat="false" ht="15" hidden="false" customHeight="true" outlineLevel="0" collapsed="false">
      <c r="A11" s="4" t="s">
        <v>599</v>
      </c>
      <c r="B11" s="4" t="n">
        <v>2</v>
      </c>
      <c r="C11" s="28" t="n">
        <v>69409.08</v>
      </c>
      <c r="D11" s="28" t="n">
        <v>0</v>
      </c>
      <c r="E11" s="28" t="n">
        <v>69409.08</v>
      </c>
      <c r="F11" s="28" t="n">
        <v>68901.64</v>
      </c>
      <c r="G11" s="28" t="n">
        <v>507.44</v>
      </c>
      <c r="H11" s="28" t="n">
        <v>193534.58</v>
      </c>
      <c r="I11" s="29" t="n">
        <f aca="false">IF(OR(E11="",H11=""),"",E11-H11)</f>
        <v>-124125.5</v>
      </c>
      <c r="J11" s="30"/>
    </row>
    <row r="12" customFormat="false" ht="15" hidden="false" customHeight="true" outlineLevel="0" collapsed="false">
      <c r="A12" s="4" t="s">
        <v>600</v>
      </c>
      <c r="B12" s="4" t="n">
        <v>1</v>
      </c>
      <c r="C12" s="28" t="n">
        <v>33593.42</v>
      </c>
      <c r="D12" s="28" t="n">
        <v>0</v>
      </c>
      <c r="E12" s="28" t="n">
        <v>33593.42</v>
      </c>
      <c r="F12" s="28" t="n">
        <v>33255.12</v>
      </c>
      <c r="G12" s="28" t="n">
        <v>338.3</v>
      </c>
      <c r="H12" s="28" t="n">
        <v>66525.33</v>
      </c>
      <c r="I12" s="29" t="n">
        <f aca="false">IF(OR(E12="",H12=""),"",E12-H12)</f>
        <v>-32931.91</v>
      </c>
      <c r="J12" s="30"/>
    </row>
    <row r="13" customFormat="false" ht="15" hidden="false" customHeight="true" outlineLevel="0" collapsed="false">
      <c r="A13" s="4" t="s">
        <v>601</v>
      </c>
      <c r="B13" s="4" t="n">
        <v>1</v>
      </c>
      <c r="C13" s="28" t="n">
        <v>31417.99</v>
      </c>
      <c r="D13" s="28" t="n">
        <v>0</v>
      </c>
      <c r="E13" s="28" t="n">
        <v>31417.99</v>
      </c>
      <c r="F13" s="28" t="n">
        <v>30572.25</v>
      </c>
      <c r="G13" s="28" t="n">
        <v>845.74</v>
      </c>
      <c r="H13" s="28" t="n">
        <v>65028.72</v>
      </c>
      <c r="I13" s="29" t="n">
        <f aca="false">IF(OR(E13="",H13=""),"",E13-H13)</f>
        <v>-33610.73</v>
      </c>
      <c r="J13" s="30"/>
    </row>
    <row r="14" customFormat="false" ht="15" hidden="false" customHeight="true" outlineLevel="0" collapsed="false">
      <c r="A14" s="4" t="s">
        <v>602</v>
      </c>
      <c r="B14" s="4" t="n">
        <v>1</v>
      </c>
      <c r="C14" s="28" t="n">
        <v>39371.04</v>
      </c>
      <c r="D14" s="28" t="n">
        <v>0</v>
      </c>
      <c r="E14" s="28" t="n">
        <v>39371.04</v>
      </c>
      <c r="F14" s="28" t="n">
        <v>39371.04</v>
      </c>
      <c r="G14" s="28" t="n">
        <v>0</v>
      </c>
      <c r="H14" s="28" t="n">
        <v>102398.73</v>
      </c>
      <c r="I14" s="29" t="n">
        <f aca="false">IF(OR(E14="",H14=""),"",E14-H14)</f>
        <v>-63027.69</v>
      </c>
      <c r="J14" s="30"/>
    </row>
    <row r="15" customFormat="false" ht="15" hidden="false" customHeight="true" outlineLevel="0" collapsed="false">
      <c r="A15" s="4" t="s">
        <v>603</v>
      </c>
      <c r="B15" s="4" t="n">
        <v>1</v>
      </c>
      <c r="C15" s="28" t="n">
        <v>26954.81</v>
      </c>
      <c r="D15" s="28" t="n">
        <v>0</v>
      </c>
      <c r="E15" s="28" t="n">
        <v>26954.81</v>
      </c>
      <c r="F15" s="28" t="n">
        <v>22142.85</v>
      </c>
      <c r="G15" s="28" t="n">
        <v>4811.96</v>
      </c>
      <c r="H15" s="28" t="n">
        <v>25975.2</v>
      </c>
      <c r="I15" s="29" t="n">
        <f aca="false">IF(OR(E15="",H15=""),"",E15-H15)</f>
        <v>979.610000000001</v>
      </c>
      <c r="J15" s="30"/>
    </row>
    <row r="16" customFormat="false" ht="15" hidden="false" customHeight="true" outlineLevel="0" collapsed="false">
      <c r="A16" s="4" t="s">
        <v>604</v>
      </c>
      <c r="B16" s="4" t="n">
        <v>1</v>
      </c>
      <c r="C16" s="28" t="n">
        <v>41701.22</v>
      </c>
      <c r="D16" s="28" t="n">
        <v>0</v>
      </c>
      <c r="E16" s="28" t="n">
        <v>41701.22</v>
      </c>
      <c r="F16" s="28" t="n">
        <v>40009.73</v>
      </c>
      <c r="G16" s="28" t="n">
        <v>1691.49</v>
      </c>
      <c r="H16" s="28" t="n">
        <v>93529.72</v>
      </c>
      <c r="I16" s="29" t="n">
        <f aca="false">IF(OR(E16="",H16=""),"",E16-H16)</f>
        <v>-51828.5</v>
      </c>
      <c r="J16" s="30"/>
    </row>
    <row r="17" customFormat="false" ht="15" hidden="false" customHeight="true" outlineLevel="0" collapsed="false">
      <c r="A17" s="4" t="s">
        <v>605</v>
      </c>
      <c r="B17" s="4" t="n">
        <v>1</v>
      </c>
      <c r="C17" s="28" t="n">
        <v>75031.46</v>
      </c>
      <c r="D17" s="28" t="n">
        <v>0</v>
      </c>
      <c r="E17" s="28" t="n">
        <v>75031.46</v>
      </c>
      <c r="F17" s="28" t="n">
        <v>74016.57</v>
      </c>
      <c r="G17" s="28" t="n">
        <v>1014.89</v>
      </c>
      <c r="H17" s="28" t="n">
        <v>84563.74</v>
      </c>
      <c r="I17" s="29" t="n">
        <f aca="false">IF(OR(E17="",H17=""),"",E17-H17)</f>
        <v>-9532.28</v>
      </c>
      <c r="J17" s="30"/>
    </row>
    <row r="18" customFormat="false" ht="15" hidden="false" customHeight="true" outlineLevel="0" collapsed="false">
      <c r="A18" s="4" t="s">
        <v>606</v>
      </c>
      <c r="B18" s="4" t="n">
        <v>1</v>
      </c>
      <c r="C18" s="28" t="n">
        <v>13391.22</v>
      </c>
      <c r="D18" s="28" t="n">
        <v>0</v>
      </c>
      <c r="E18" s="28" t="n">
        <v>13391.22</v>
      </c>
      <c r="F18" s="28" t="n">
        <v>12714.62</v>
      </c>
      <c r="G18" s="28" t="n">
        <v>676.6</v>
      </c>
      <c r="H18" s="28" t="n">
        <v>36177.1</v>
      </c>
      <c r="I18" s="29" t="n">
        <f aca="false">IF(OR(E18="",H18=""),"",E18-H18)</f>
        <v>-22785.88</v>
      </c>
      <c r="J18" s="30"/>
    </row>
    <row r="19" customFormat="false" ht="15" hidden="false" customHeight="true" outlineLevel="0" collapsed="false">
      <c r="A19" s="4" t="s">
        <v>607</v>
      </c>
      <c r="B19" s="4" t="n">
        <v>1</v>
      </c>
      <c r="C19" s="28" t="n">
        <v>51878.42</v>
      </c>
      <c r="D19" s="28" t="n">
        <v>0</v>
      </c>
      <c r="E19" s="28" t="n">
        <v>51878.42</v>
      </c>
      <c r="F19" s="28" t="n">
        <v>51757.02</v>
      </c>
      <c r="G19" s="28" t="n">
        <v>121.4</v>
      </c>
      <c r="H19" s="28"/>
      <c r="I19" s="29" t="str">
        <f aca="false">IF(OR(E19="",H19=""),"",E19-H19)</f>
        <v/>
      </c>
      <c r="J19" s="30" t="s">
        <v>608</v>
      </c>
    </row>
    <row r="20" customFormat="false" ht="15" hidden="false" customHeight="true" outlineLevel="0" collapsed="false">
      <c r="A20" s="4" t="s">
        <v>609</v>
      </c>
      <c r="B20" s="4" t="n">
        <v>1</v>
      </c>
      <c r="C20" s="28" t="n">
        <v>2754.76</v>
      </c>
      <c r="D20" s="28" t="n">
        <v>0</v>
      </c>
      <c r="E20" s="28" t="n">
        <v>2754.76</v>
      </c>
      <c r="F20" s="28" t="n">
        <v>2754.76</v>
      </c>
      <c r="G20" s="28" t="n">
        <v>0</v>
      </c>
      <c r="H20" s="28" t="n">
        <v>7005.13</v>
      </c>
      <c r="I20" s="29" t="n">
        <f aca="false">IF(OR(E20="",H20=""),"",E20-H20)</f>
        <v>-4250.37</v>
      </c>
      <c r="J20" s="30"/>
    </row>
    <row r="21" customFormat="false" ht="15" hidden="false" customHeight="true" outlineLevel="0" collapsed="false">
      <c r="A21" s="4" t="s">
        <v>610</v>
      </c>
      <c r="B21" s="4" t="n">
        <v>1</v>
      </c>
      <c r="C21" s="28" t="n">
        <v>18709.16</v>
      </c>
      <c r="D21" s="28" t="n">
        <v>0</v>
      </c>
      <c r="E21" s="28" t="n">
        <v>18709.16</v>
      </c>
      <c r="F21" s="28" t="n">
        <v>18117.14</v>
      </c>
      <c r="G21" s="28" t="n">
        <v>592.02</v>
      </c>
      <c r="H21" s="28" t="n">
        <v>43971.25</v>
      </c>
      <c r="I21" s="29" t="n">
        <f aca="false">IF(OR(E21="",H21=""),"",E21-H21)</f>
        <v>-25262.09</v>
      </c>
      <c r="J21" s="30"/>
    </row>
    <row r="22" customFormat="false" ht="15" hidden="false" customHeight="true" outlineLevel="0" collapsed="false">
      <c r="A22" s="6" t="s">
        <v>611</v>
      </c>
      <c r="B22" s="6" t="n">
        <f aca="false">SUM(B5:B21)</f>
        <v>23</v>
      </c>
      <c r="C22" s="31" t="n">
        <f aca="false">SUM(C5:C21)</f>
        <v>1025587.94</v>
      </c>
      <c r="D22" s="31" t="n">
        <f aca="false">SUM(D5:D21)</f>
        <v>-72130.01</v>
      </c>
      <c r="E22" s="31" t="n">
        <f aca="false">SUM(E5:E21)</f>
        <v>953457.93</v>
      </c>
      <c r="F22" s="31" t="n">
        <f aca="false">SUM(F5:F21)</f>
        <v>686561.81</v>
      </c>
      <c r="G22" s="31" t="n">
        <f aca="false">SUM(G5:G21)</f>
        <v>266895.83</v>
      </c>
      <c r="H22" s="31" t="n">
        <f aca="false">SUM(H5:H21)</f>
        <v>1378637</v>
      </c>
      <c r="I22" s="31" t="n">
        <f aca="false">E22-H22</f>
        <v>-425179.07</v>
      </c>
    </row>
    <row r="24" customFormat="false" ht="15" hidden="false" customHeight="true" outlineLevel="0" collapsed="false">
      <c r="A24" s="30"/>
    </row>
    <row r="25" customFormat="false" ht="15" hidden="false" customHeight="true" outlineLevel="0" collapsed="false">
      <c r="A25" s="32" t="s">
        <v>612</v>
      </c>
    </row>
    <row r="26" customFormat="false" ht="15" hidden="false" customHeight="true" outlineLevel="0" collapsed="false">
      <c r="A26" s="30" t="s">
        <v>613</v>
      </c>
    </row>
    <row r="27" customFormat="false" ht="15" hidden="false" customHeight="true" outlineLevel="0" collapsed="false">
      <c r="A27" s="30" t="s">
        <v>614</v>
      </c>
    </row>
    <row r="28" customFormat="false" ht="15" hidden="false" customHeight="true" outlineLevel="0" collapsed="false">
      <c r="A28" s="30" t="s">
        <v>615</v>
      </c>
    </row>
    <row r="29" customFormat="false" ht="15" hidden="false" customHeight="true" outlineLevel="0" collapsed="false">
      <c r="A29" s="30" t="s">
        <v>616</v>
      </c>
    </row>
    <row r="30" customFormat="false" ht="15" hidden="false" customHeight="true" outlineLevel="0" collapsed="false">
      <c r="A30" s="30" t="s">
        <v>617</v>
      </c>
    </row>
    <row r="31" customFormat="false" ht="15" hidden="false" customHeight="true" outlineLevel="0" collapsed="false">
      <c r="A31" s="30"/>
    </row>
    <row r="32" customFormat="false" ht="15" hidden="false" customHeight="true" outlineLevel="0" collapsed="false">
      <c r="A32" s="32" t="s">
        <v>618</v>
      </c>
    </row>
    <row r="33" customFormat="false" ht="15" hidden="false" customHeight="true" outlineLevel="0" collapsed="false">
      <c r="A33" s="32" t="s">
        <v>619</v>
      </c>
    </row>
    <row r="34" customFormat="false" ht="15" hidden="false" customHeight="true" outlineLevel="0" collapsed="false">
      <c r="A34" s="32" t="s">
        <v>620</v>
      </c>
    </row>
    <row r="35" customFormat="false" ht="15" hidden="false" customHeight="true" outlineLevel="0" collapsed="false">
      <c r="A35" s="30" t="s">
        <v>621</v>
      </c>
    </row>
    <row r="36" customFormat="false" ht="15" hidden="false" customHeight="true" outlineLevel="0" collapsed="false">
      <c r="A36" s="32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8A8A"/>
    <pageSetUpPr fitToPage="false"/>
  </sheetPr>
  <dimension ref="A1:M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9" min="7" style="0" width="10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19" t="s">
        <v>623</v>
      </c>
      <c r="B1" s="19" t="s">
        <v>624</v>
      </c>
      <c r="C1" s="19" t="s">
        <v>625</v>
      </c>
      <c r="D1" s="19" t="s">
        <v>626</v>
      </c>
      <c r="E1" s="19" t="s">
        <v>627</v>
      </c>
      <c r="F1" s="19" t="s">
        <v>29</v>
      </c>
      <c r="G1" s="19" t="s">
        <v>628</v>
      </c>
      <c r="H1" s="19" t="s">
        <v>629</v>
      </c>
      <c r="I1" s="19" t="s">
        <v>630</v>
      </c>
      <c r="J1" s="19" t="s">
        <v>631</v>
      </c>
      <c r="K1" s="19" t="s">
        <v>632</v>
      </c>
      <c r="L1" s="19" t="s">
        <v>633</v>
      </c>
      <c r="M1" s="19" t="s">
        <v>634</v>
      </c>
    </row>
    <row r="2" customFormat="false" ht="15" hidden="false" customHeight="false" outlineLevel="0" collapsed="false">
      <c r="A2" s="11" t="s">
        <v>635</v>
      </c>
      <c r="B2" s="11" t="s">
        <v>636</v>
      </c>
      <c r="C2" s="11" t="s">
        <v>637</v>
      </c>
      <c r="D2" s="11" t="s">
        <v>594</v>
      </c>
      <c r="E2" s="11" t="s">
        <v>164</v>
      </c>
      <c r="F2" s="11" t="s">
        <v>638</v>
      </c>
      <c r="G2" s="11" t="n">
        <v>8</v>
      </c>
      <c r="H2" s="11" t="n">
        <v>8</v>
      </c>
      <c r="I2" s="11" t="n">
        <v>0</v>
      </c>
      <c r="J2" s="11" t="n">
        <v>8</v>
      </c>
      <c r="K2" s="11" t="s">
        <v>639</v>
      </c>
      <c r="L2" s="11"/>
      <c r="M2" s="11"/>
    </row>
    <row r="3" customFormat="false" ht="15" hidden="false" customHeight="false" outlineLevel="0" collapsed="false">
      <c r="A3" s="11" t="s">
        <v>635</v>
      </c>
      <c r="B3" s="11" t="s">
        <v>640</v>
      </c>
      <c r="C3" s="11" t="s">
        <v>637</v>
      </c>
      <c r="D3" s="11" t="s">
        <v>594</v>
      </c>
      <c r="E3" s="11" t="s">
        <v>52</v>
      </c>
      <c r="F3" s="11" t="s">
        <v>641</v>
      </c>
      <c r="G3" s="11" t="n">
        <v>40</v>
      </c>
      <c r="H3" s="11" t="n">
        <v>40</v>
      </c>
      <c r="I3" s="11" t="n">
        <v>0</v>
      </c>
      <c r="J3" s="11" t="n">
        <v>40</v>
      </c>
      <c r="K3" s="11" t="s">
        <v>639</v>
      </c>
      <c r="L3" s="11"/>
      <c r="M3" s="11"/>
    </row>
    <row r="4" customFormat="false" ht="15" hidden="false" customHeight="false" outlineLevel="0" collapsed="false">
      <c r="A4" s="11" t="s">
        <v>635</v>
      </c>
      <c r="B4" s="11" t="s">
        <v>642</v>
      </c>
      <c r="C4" s="11" t="s">
        <v>637</v>
      </c>
      <c r="D4" s="11" t="s">
        <v>594</v>
      </c>
      <c r="E4" s="11" t="s">
        <v>110</v>
      </c>
      <c r="F4" s="11" t="s">
        <v>643</v>
      </c>
      <c r="G4" s="11" t="n">
        <v>3</v>
      </c>
      <c r="H4" s="11" t="n">
        <v>3</v>
      </c>
      <c r="I4" s="11" t="n">
        <v>0</v>
      </c>
      <c r="J4" s="11" t="n">
        <v>3</v>
      </c>
      <c r="K4" s="11" t="s">
        <v>639</v>
      </c>
      <c r="L4" s="11"/>
      <c r="M4" s="11"/>
    </row>
    <row r="5" customFormat="false" ht="15" hidden="false" customHeight="false" outlineLevel="0" collapsed="false">
      <c r="A5" s="11" t="s">
        <v>635</v>
      </c>
      <c r="B5" s="11" t="s">
        <v>644</v>
      </c>
      <c r="C5" s="11" t="s">
        <v>637</v>
      </c>
      <c r="D5" s="11" t="s">
        <v>594</v>
      </c>
      <c r="E5" s="11" t="s">
        <v>41</v>
      </c>
      <c r="F5" s="11" t="s">
        <v>645</v>
      </c>
      <c r="G5" s="11" t="n">
        <v>260</v>
      </c>
      <c r="H5" s="11" t="n">
        <v>0</v>
      </c>
      <c r="I5" s="11" t="n">
        <v>0</v>
      </c>
      <c r="J5" s="11" t="n">
        <v>260</v>
      </c>
      <c r="K5" s="11" t="s">
        <v>646</v>
      </c>
      <c r="L5" s="11" t="s">
        <v>43</v>
      </c>
      <c r="M5" s="11" t="s">
        <v>647</v>
      </c>
    </row>
    <row r="6" customFormat="false" ht="15" hidden="false" customHeight="false" outlineLevel="0" collapsed="false">
      <c r="A6" s="11" t="s">
        <v>635</v>
      </c>
      <c r="B6" s="11" t="s">
        <v>648</v>
      </c>
      <c r="C6" s="11" t="s">
        <v>637</v>
      </c>
      <c r="D6" s="11" t="s">
        <v>594</v>
      </c>
      <c r="E6" s="11" t="s">
        <v>74</v>
      </c>
      <c r="F6" s="11" t="s">
        <v>649</v>
      </c>
      <c r="G6" s="11" t="n">
        <v>6</v>
      </c>
      <c r="H6" s="11" t="n">
        <v>0</v>
      </c>
      <c r="I6" s="11" t="n">
        <v>0</v>
      </c>
      <c r="J6" s="11" t="n">
        <v>6</v>
      </c>
      <c r="K6" s="11" t="s">
        <v>646</v>
      </c>
      <c r="L6" s="11" t="s">
        <v>43</v>
      </c>
      <c r="M6" s="11" t="s">
        <v>647</v>
      </c>
    </row>
    <row r="7" customFormat="false" ht="15" hidden="false" customHeight="false" outlineLevel="0" collapsed="false">
      <c r="A7" s="11" t="s">
        <v>635</v>
      </c>
      <c r="B7" s="11" t="s">
        <v>650</v>
      </c>
      <c r="C7" s="11" t="s">
        <v>637</v>
      </c>
      <c r="D7" s="11" t="s">
        <v>594</v>
      </c>
      <c r="E7" s="11" t="s">
        <v>45</v>
      </c>
      <c r="F7" s="11" t="s">
        <v>651</v>
      </c>
      <c r="G7" s="11" t="n">
        <v>17</v>
      </c>
      <c r="H7" s="11" t="n">
        <v>14</v>
      </c>
      <c r="I7" s="11" t="n">
        <v>0</v>
      </c>
      <c r="J7" s="11" t="n">
        <v>17</v>
      </c>
      <c r="K7" s="11" t="s">
        <v>646</v>
      </c>
      <c r="L7" s="11" t="s">
        <v>43</v>
      </c>
      <c r="M7" s="11" t="s">
        <v>647</v>
      </c>
    </row>
    <row r="8" customFormat="false" ht="15" hidden="false" customHeight="false" outlineLevel="0" collapsed="false">
      <c r="A8" s="11" t="s">
        <v>635</v>
      </c>
      <c r="B8" s="11" t="s">
        <v>652</v>
      </c>
      <c r="C8" s="11" t="s">
        <v>637</v>
      </c>
      <c r="D8" s="11" t="s">
        <v>594</v>
      </c>
      <c r="E8" s="11" t="s">
        <v>84</v>
      </c>
      <c r="F8" s="11" t="s">
        <v>653</v>
      </c>
      <c r="G8" s="11" t="n">
        <v>120</v>
      </c>
      <c r="H8" s="11" t="n">
        <v>0</v>
      </c>
      <c r="I8" s="11" t="n">
        <v>0</v>
      </c>
      <c r="J8" s="11" t="n">
        <v>120</v>
      </c>
      <c r="K8" s="11" t="s">
        <v>646</v>
      </c>
      <c r="L8" s="11" t="s">
        <v>86</v>
      </c>
      <c r="M8" s="11" t="s">
        <v>647</v>
      </c>
    </row>
    <row r="9" customFormat="false" ht="15" hidden="false" customHeight="false" outlineLevel="0" collapsed="false">
      <c r="A9" s="11" t="s">
        <v>635</v>
      </c>
      <c r="B9" s="11" t="s">
        <v>654</v>
      </c>
      <c r="C9" s="11" t="s">
        <v>637</v>
      </c>
      <c r="D9" s="11" t="s">
        <v>594</v>
      </c>
      <c r="E9" s="11" t="s">
        <v>122</v>
      </c>
      <c r="F9" s="11" t="s">
        <v>123</v>
      </c>
      <c r="G9" s="11" t="n">
        <v>60</v>
      </c>
      <c r="H9" s="11" t="n">
        <v>0</v>
      </c>
      <c r="I9" s="11" t="n">
        <v>0</v>
      </c>
      <c r="J9" s="11" t="n">
        <v>60</v>
      </c>
      <c r="K9" s="11" t="s">
        <v>646</v>
      </c>
      <c r="L9" s="11" t="s">
        <v>124</v>
      </c>
      <c r="M9" s="11" t="s">
        <v>647</v>
      </c>
    </row>
    <row r="10" customFormat="false" ht="15" hidden="false" customHeight="false" outlineLevel="0" collapsed="false">
      <c r="A10" s="11" t="s">
        <v>635</v>
      </c>
      <c r="B10" s="11" t="s">
        <v>655</v>
      </c>
      <c r="C10" s="11" t="s">
        <v>637</v>
      </c>
      <c r="D10" s="11" t="s">
        <v>594</v>
      </c>
      <c r="E10" s="11" t="s">
        <v>60</v>
      </c>
      <c r="F10" s="11" t="s">
        <v>656</v>
      </c>
      <c r="G10" s="11" t="n">
        <v>4</v>
      </c>
      <c r="H10" s="11" t="n">
        <v>0</v>
      </c>
      <c r="I10" s="11" t="n">
        <v>0</v>
      </c>
      <c r="J10" s="11" t="n">
        <v>4</v>
      </c>
      <c r="K10" s="11" t="s">
        <v>646</v>
      </c>
      <c r="L10" s="11" t="s">
        <v>50</v>
      </c>
      <c r="M10" s="11"/>
    </row>
    <row r="11" customFormat="false" ht="15" hidden="false" customHeight="false" outlineLevel="0" collapsed="false">
      <c r="A11" s="11" t="s">
        <v>635</v>
      </c>
      <c r="B11" s="11" t="s">
        <v>657</v>
      </c>
      <c r="C11" s="11" t="s">
        <v>637</v>
      </c>
      <c r="D11" s="11" t="s">
        <v>594</v>
      </c>
      <c r="E11" s="11" t="s">
        <v>48</v>
      </c>
      <c r="F11" s="11" t="s">
        <v>658</v>
      </c>
      <c r="G11" s="11" t="n">
        <v>4</v>
      </c>
      <c r="H11" s="11" t="n">
        <v>0</v>
      </c>
      <c r="I11" s="11" t="n">
        <v>0</v>
      </c>
      <c r="J11" s="11" t="n">
        <v>4</v>
      </c>
      <c r="K11" s="11" t="s">
        <v>646</v>
      </c>
      <c r="L11" s="11" t="s">
        <v>50</v>
      </c>
      <c r="M11" s="11"/>
    </row>
    <row r="12" customFormat="false" ht="15" hidden="false" customHeight="false" outlineLevel="0" collapsed="false">
      <c r="A12" s="11" t="s">
        <v>635</v>
      </c>
      <c r="B12" s="11" t="s">
        <v>659</v>
      </c>
      <c r="C12" s="11" t="s">
        <v>637</v>
      </c>
      <c r="D12" s="11" t="s">
        <v>594</v>
      </c>
      <c r="E12" s="11" t="s">
        <v>92</v>
      </c>
      <c r="F12" s="11" t="s">
        <v>660</v>
      </c>
      <c r="G12" s="11" t="n">
        <v>100</v>
      </c>
      <c r="H12" s="11" t="n">
        <v>0</v>
      </c>
      <c r="I12" s="11" t="n">
        <v>0</v>
      </c>
      <c r="J12" s="11" t="n">
        <v>100</v>
      </c>
      <c r="K12" s="11" t="s">
        <v>646</v>
      </c>
      <c r="L12" s="11" t="s">
        <v>82</v>
      </c>
      <c r="M12" s="11" t="s">
        <v>647</v>
      </c>
    </row>
    <row r="13" customFormat="false" ht="15" hidden="false" customHeight="false" outlineLevel="0" collapsed="false">
      <c r="A13" s="11" t="s">
        <v>635</v>
      </c>
      <c r="B13" s="11" t="s">
        <v>661</v>
      </c>
      <c r="C13" s="11" t="s">
        <v>637</v>
      </c>
      <c r="D13" s="11" t="s">
        <v>594</v>
      </c>
      <c r="E13" s="11" t="s">
        <v>80</v>
      </c>
      <c r="F13" s="11" t="s">
        <v>662</v>
      </c>
      <c r="G13" s="11" t="n">
        <v>200</v>
      </c>
      <c r="H13" s="11" t="n">
        <v>0</v>
      </c>
      <c r="I13" s="11" t="n">
        <v>0</v>
      </c>
      <c r="J13" s="11" t="n">
        <v>200</v>
      </c>
      <c r="K13" s="11" t="s">
        <v>646</v>
      </c>
      <c r="L13" s="11" t="s">
        <v>82</v>
      </c>
      <c r="M13" s="11" t="s">
        <v>647</v>
      </c>
    </row>
    <row r="14" customFormat="false" ht="15" hidden="false" customHeight="false" outlineLevel="0" collapsed="false">
      <c r="A14" s="11" t="s">
        <v>663</v>
      </c>
      <c r="B14" s="11" t="s">
        <v>664</v>
      </c>
      <c r="C14" s="11" t="s">
        <v>637</v>
      </c>
      <c r="D14" s="11" t="s">
        <v>595</v>
      </c>
      <c r="E14" s="11" t="s">
        <v>146</v>
      </c>
      <c r="F14" s="11" t="s">
        <v>665</v>
      </c>
      <c r="G14" s="11" t="n">
        <v>150</v>
      </c>
      <c r="H14" s="11" t="n">
        <v>150</v>
      </c>
      <c r="I14" s="11" t="n">
        <v>0</v>
      </c>
      <c r="J14" s="11" t="n">
        <v>150</v>
      </c>
      <c r="K14" s="11" t="s">
        <v>639</v>
      </c>
      <c r="L14" s="11"/>
      <c r="M14" s="11"/>
    </row>
    <row r="15" customFormat="false" ht="15" hidden="false" customHeight="false" outlineLevel="0" collapsed="false">
      <c r="A15" s="11" t="s">
        <v>663</v>
      </c>
      <c r="B15" s="11" t="s">
        <v>666</v>
      </c>
      <c r="C15" s="11" t="s">
        <v>637</v>
      </c>
      <c r="D15" s="11" t="s">
        <v>595</v>
      </c>
      <c r="E15" s="11" t="s">
        <v>52</v>
      </c>
      <c r="F15" s="11" t="s">
        <v>641</v>
      </c>
      <c r="G15" s="11" t="n">
        <v>55</v>
      </c>
      <c r="H15" s="11" t="n">
        <v>55</v>
      </c>
      <c r="I15" s="11" t="n">
        <v>0</v>
      </c>
      <c r="J15" s="11" t="n">
        <v>55</v>
      </c>
      <c r="K15" s="11" t="s">
        <v>639</v>
      </c>
      <c r="L15" s="11"/>
      <c r="M15" s="11"/>
    </row>
    <row r="16" customFormat="false" ht="15" hidden="false" customHeight="false" outlineLevel="0" collapsed="false">
      <c r="A16" s="11" t="s">
        <v>663</v>
      </c>
      <c r="B16" s="11" t="s">
        <v>667</v>
      </c>
      <c r="C16" s="11" t="s">
        <v>637</v>
      </c>
      <c r="D16" s="11" t="s">
        <v>595</v>
      </c>
      <c r="E16" s="11" t="s">
        <v>95</v>
      </c>
      <c r="F16" s="11" t="s">
        <v>668</v>
      </c>
      <c r="G16" s="11" t="n">
        <v>120</v>
      </c>
      <c r="H16" s="11" t="n">
        <v>0</v>
      </c>
      <c r="I16" s="11" t="n">
        <v>0</v>
      </c>
      <c r="J16" s="11" t="n">
        <v>120</v>
      </c>
      <c r="K16" s="11" t="s">
        <v>646</v>
      </c>
      <c r="L16" s="11" t="s">
        <v>82</v>
      </c>
      <c r="M16" s="11" t="s">
        <v>647</v>
      </c>
    </row>
    <row r="17" customFormat="false" ht="15" hidden="false" customHeight="false" outlineLevel="0" collapsed="false">
      <c r="A17" s="11" t="s">
        <v>663</v>
      </c>
      <c r="B17" s="11" t="s">
        <v>648</v>
      </c>
      <c r="C17" s="11" t="s">
        <v>637</v>
      </c>
      <c r="D17" s="11" t="s">
        <v>595</v>
      </c>
      <c r="E17" s="11" t="s">
        <v>45</v>
      </c>
      <c r="F17" s="11" t="s">
        <v>651</v>
      </c>
      <c r="G17" s="11" t="n">
        <v>7</v>
      </c>
      <c r="H17" s="11" t="n">
        <v>7</v>
      </c>
      <c r="I17" s="11" t="n">
        <v>0</v>
      </c>
      <c r="J17" s="11" t="n">
        <v>7</v>
      </c>
      <c r="K17" s="11" t="s">
        <v>639</v>
      </c>
      <c r="L17" s="11"/>
      <c r="M17" s="11"/>
    </row>
    <row r="18" customFormat="false" ht="15" hidden="false" customHeight="false" outlineLevel="0" collapsed="false">
      <c r="A18" s="11" t="s">
        <v>663</v>
      </c>
      <c r="B18" s="11" t="s">
        <v>669</v>
      </c>
      <c r="C18" s="11" t="s">
        <v>637</v>
      </c>
      <c r="D18" s="11" t="s">
        <v>595</v>
      </c>
      <c r="E18" s="11" t="s">
        <v>88</v>
      </c>
      <c r="F18" s="11" t="s">
        <v>670</v>
      </c>
      <c r="G18" s="11" t="n">
        <v>450</v>
      </c>
      <c r="H18" s="11" t="n">
        <v>0</v>
      </c>
      <c r="I18" s="11" t="n">
        <v>0</v>
      </c>
      <c r="J18" s="11" t="n">
        <v>450</v>
      </c>
      <c r="K18" s="11" t="s">
        <v>646</v>
      </c>
      <c r="L18" s="11" t="s">
        <v>90</v>
      </c>
      <c r="M18" s="11" t="s">
        <v>647</v>
      </c>
    </row>
    <row r="19" customFormat="false" ht="15" hidden="false" customHeight="false" outlineLevel="0" collapsed="false">
      <c r="A19" s="11" t="s">
        <v>663</v>
      </c>
      <c r="B19" s="11" t="s">
        <v>671</v>
      </c>
      <c r="C19" s="11" t="s">
        <v>637</v>
      </c>
      <c r="D19" s="11" t="s">
        <v>595</v>
      </c>
      <c r="E19" s="11" t="s">
        <v>60</v>
      </c>
      <c r="F19" s="11" t="s">
        <v>656</v>
      </c>
      <c r="G19" s="11" t="n">
        <v>4</v>
      </c>
      <c r="H19" s="11" t="n">
        <v>0</v>
      </c>
      <c r="I19" s="11" t="n">
        <v>0</v>
      </c>
      <c r="J19" s="11" t="n">
        <v>4</v>
      </c>
      <c r="K19" s="11" t="s">
        <v>646</v>
      </c>
      <c r="L19" s="11" t="s">
        <v>50</v>
      </c>
      <c r="M19" s="11"/>
    </row>
    <row r="20" customFormat="false" ht="15" hidden="false" customHeight="false" outlineLevel="0" collapsed="false">
      <c r="A20" s="11" t="s">
        <v>663</v>
      </c>
      <c r="B20" s="11" t="s">
        <v>659</v>
      </c>
      <c r="C20" s="11" t="s">
        <v>637</v>
      </c>
      <c r="D20" s="11" t="s">
        <v>595</v>
      </c>
      <c r="E20" s="11" t="s">
        <v>151</v>
      </c>
      <c r="F20" s="11" t="s">
        <v>672</v>
      </c>
      <c r="G20" s="11" t="n">
        <v>4</v>
      </c>
      <c r="H20" s="11" t="n">
        <v>0</v>
      </c>
      <c r="I20" s="11" t="n">
        <v>0</v>
      </c>
      <c r="J20" s="11" t="n">
        <v>4</v>
      </c>
      <c r="K20" s="11" t="s">
        <v>646</v>
      </c>
      <c r="L20" s="11" t="s">
        <v>50</v>
      </c>
      <c r="M20" s="11"/>
    </row>
    <row r="21" customFormat="false" ht="15" hidden="false" customHeight="false" outlineLevel="0" collapsed="false">
      <c r="A21" s="11" t="s">
        <v>663</v>
      </c>
      <c r="B21" s="11" t="s">
        <v>661</v>
      </c>
      <c r="C21" s="11" t="s">
        <v>637</v>
      </c>
      <c r="D21" s="11" t="s">
        <v>595</v>
      </c>
      <c r="E21" s="11" t="s">
        <v>48</v>
      </c>
      <c r="F21" s="11" t="s">
        <v>658</v>
      </c>
      <c r="G21" s="11" t="n">
        <v>12</v>
      </c>
      <c r="H21" s="11" t="n">
        <v>0</v>
      </c>
      <c r="I21" s="11" t="n">
        <v>0</v>
      </c>
      <c r="J21" s="11" t="n">
        <v>12</v>
      </c>
      <c r="K21" s="11" t="s">
        <v>646</v>
      </c>
      <c r="L21" s="11" t="s">
        <v>50</v>
      </c>
      <c r="M21" s="11"/>
    </row>
    <row r="22" customFormat="false" ht="15" hidden="false" customHeight="false" outlineLevel="0" collapsed="false">
      <c r="A22" s="11" t="s">
        <v>663</v>
      </c>
      <c r="B22" s="11" t="s">
        <v>673</v>
      </c>
      <c r="C22" s="11" t="s">
        <v>637</v>
      </c>
      <c r="D22" s="11" t="s">
        <v>595</v>
      </c>
      <c r="E22" s="11" t="s">
        <v>63</v>
      </c>
      <c r="F22" s="11" t="s">
        <v>674</v>
      </c>
      <c r="G22" s="11" t="n">
        <v>5</v>
      </c>
      <c r="H22" s="11" t="n">
        <v>0</v>
      </c>
      <c r="I22" s="11" t="n">
        <v>0</v>
      </c>
      <c r="J22" s="11" t="n">
        <v>5</v>
      </c>
      <c r="K22" s="11" t="s">
        <v>646</v>
      </c>
      <c r="L22" s="11" t="s">
        <v>50</v>
      </c>
      <c r="M22" s="11"/>
    </row>
    <row r="23" customFormat="false" ht="15" hidden="false" customHeight="false" outlineLevel="0" collapsed="false">
      <c r="A23" s="11" t="s">
        <v>663</v>
      </c>
      <c r="B23" s="11" t="s">
        <v>675</v>
      </c>
      <c r="C23" s="11" t="s">
        <v>637</v>
      </c>
      <c r="D23" s="11" t="s">
        <v>595</v>
      </c>
      <c r="E23" s="11" t="s">
        <v>153</v>
      </c>
      <c r="F23" s="11" t="s">
        <v>676</v>
      </c>
      <c r="G23" s="11" t="n">
        <v>5</v>
      </c>
      <c r="H23" s="11" t="n">
        <v>5</v>
      </c>
      <c r="I23" s="11" t="n">
        <v>0</v>
      </c>
      <c r="J23" s="11" t="n">
        <v>5</v>
      </c>
      <c r="K23" s="11" t="s">
        <v>639</v>
      </c>
      <c r="L23" s="11"/>
      <c r="M23" s="11"/>
    </row>
    <row r="24" customFormat="false" ht="15" hidden="false" customHeight="false" outlineLevel="0" collapsed="false">
      <c r="A24" s="11" t="s">
        <v>663</v>
      </c>
      <c r="B24" s="11" t="s">
        <v>677</v>
      </c>
      <c r="C24" s="11" t="s">
        <v>637</v>
      </c>
      <c r="D24" s="11" t="s">
        <v>595</v>
      </c>
      <c r="E24" s="11" t="s">
        <v>56</v>
      </c>
      <c r="F24" s="11" t="s">
        <v>676</v>
      </c>
      <c r="G24" s="11" t="n">
        <v>15</v>
      </c>
      <c r="H24" s="11" t="n">
        <v>0</v>
      </c>
      <c r="I24" s="11" t="n">
        <v>0</v>
      </c>
      <c r="J24" s="11" t="n">
        <v>15</v>
      </c>
      <c r="K24" s="11" t="s">
        <v>646</v>
      </c>
      <c r="L24" s="11" t="s">
        <v>58</v>
      </c>
      <c r="M24" s="11"/>
    </row>
    <row r="25" customFormat="false" ht="15" hidden="false" customHeight="false" outlineLevel="0" collapsed="false">
      <c r="A25" s="11" t="s">
        <v>663</v>
      </c>
      <c r="B25" s="11" t="s">
        <v>657</v>
      </c>
      <c r="C25" s="11" t="s">
        <v>637</v>
      </c>
      <c r="D25" s="11" t="s">
        <v>595</v>
      </c>
      <c r="E25" s="11" t="s">
        <v>113</v>
      </c>
      <c r="F25" s="11" t="s">
        <v>678</v>
      </c>
      <c r="G25" s="11" t="n">
        <v>4</v>
      </c>
      <c r="H25" s="11" t="n">
        <v>0</v>
      </c>
      <c r="I25" s="11" t="n">
        <v>0</v>
      </c>
      <c r="J25" s="11" t="n">
        <v>4</v>
      </c>
      <c r="K25" s="11" t="s">
        <v>646</v>
      </c>
      <c r="L25" s="11" t="s">
        <v>100</v>
      </c>
      <c r="M25" s="11"/>
    </row>
    <row r="26" customFormat="false" ht="15" hidden="false" customHeight="false" outlineLevel="0" collapsed="false">
      <c r="A26" s="11" t="s">
        <v>663</v>
      </c>
      <c r="B26" s="11" t="s">
        <v>679</v>
      </c>
      <c r="C26" s="11" t="s">
        <v>637</v>
      </c>
      <c r="D26" s="11" t="s">
        <v>595</v>
      </c>
      <c r="E26" s="11" t="s">
        <v>71</v>
      </c>
      <c r="F26" s="11" t="s">
        <v>680</v>
      </c>
      <c r="G26" s="11" t="n">
        <v>6</v>
      </c>
      <c r="H26" s="11" t="n">
        <v>6</v>
      </c>
      <c r="I26" s="11" t="n">
        <v>0</v>
      </c>
      <c r="J26" s="11" t="n">
        <v>6</v>
      </c>
      <c r="K26" s="11" t="s">
        <v>639</v>
      </c>
      <c r="L26" s="11"/>
      <c r="M26" s="11"/>
    </row>
    <row r="27" customFormat="false" ht="15" hidden="false" customHeight="false" outlineLevel="0" collapsed="false">
      <c r="A27" s="11" t="s">
        <v>663</v>
      </c>
      <c r="B27" s="11" t="s">
        <v>681</v>
      </c>
      <c r="C27" s="11" t="s">
        <v>637</v>
      </c>
      <c r="D27" s="11" t="s">
        <v>595</v>
      </c>
      <c r="E27" s="11" t="s">
        <v>682</v>
      </c>
      <c r="F27" s="11" t="s">
        <v>683</v>
      </c>
      <c r="G27" s="11" t="n">
        <v>10</v>
      </c>
      <c r="H27" s="11" t="n">
        <v>9</v>
      </c>
      <c r="I27" s="11" t="n">
        <v>0</v>
      </c>
      <c r="J27" s="11" t="n">
        <v>10</v>
      </c>
      <c r="K27" s="11" t="s">
        <v>646</v>
      </c>
      <c r="L27" s="11" t="s">
        <v>684</v>
      </c>
      <c r="M27" s="11"/>
    </row>
    <row r="28" customFormat="false" ht="15" hidden="false" customHeight="false" outlineLevel="0" collapsed="false">
      <c r="A28" s="11" t="s">
        <v>663</v>
      </c>
      <c r="B28" s="11" t="s">
        <v>685</v>
      </c>
      <c r="C28" s="11" t="s">
        <v>637</v>
      </c>
      <c r="D28" s="11" t="s">
        <v>595</v>
      </c>
      <c r="E28" s="11" t="s">
        <v>98</v>
      </c>
      <c r="F28" s="11" t="s">
        <v>686</v>
      </c>
      <c r="G28" s="11" t="n">
        <v>5</v>
      </c>
      <c r="H28" s="11" t="n">
        <v>0</v>
      </c>
      <c r="I28" s="11" t="n">
        <v>0</v>
      </c>
      <c r="J28" s="11" t="n">
        <v>5</v>
      </c>
      <c r="K28" s="11" t="s">
        <v>646</v>
      </c>
      <c r="L28" s="11" t="s">
        <v>100</v>
      </c>
      <c r="M28" s="11"/>
    </row>
    <row r="29" customFormat="false" ht="15" hidden="false" customHeight="false" outlineLevel="0" collapsed="false">
      <c r="A29" s="11" t="s">
        <v>663</v>
      </c>
      <c r="B29" s="11" t="s">
        <v>654</v>
      </c>
      <c r="C29" s="11" t="s">
        <v>637</v>
      </c>
      <c r="D29" s="11" t="s">
        <v>595</v>
      </c>
      <c r="E29" s="11" t="s">
        <v>139</v>
      </c>
      <c r="F29" s="11" t="s">
        <v>687</v>
      </c>
      <c r="G29" s="11" t="n">
        <v>500</v>
      </c>
      <c r="H29" s="11" t="n">
        <v>0</v>
      </c>
      <c r="I29" s="11" t="n">
        <v>0</v>
      </c>
      <c r="J29" s="11" t="n">
        <v>500</v>
      </c>
      <c r="K29" s="11" t="s">
        <v>646</v>
      </c>
      <c r="L29" s="11" t="s">
        <v>141</v>
      </c>
      <c r="M29" s="11"/>
    </row>
    <row r="30" customFormat="false" ht="15" hidden="false" customHeight="false" outlineLevel="0" collapsed="false">
      <c r="A30" s="11" t="s">
        <v>663</v>
      </c>
      <c r="B30" s="11" t="s">
        <v>688</v>
      </c>
      <c r="C30" s="11" t="s">
        <v>637</v>
      </c>
      <c r="D30" s="11" t="s">
        <v>595</v>
      </c>
      <c r="E30" s="11" t="s">
        <v>156</v>
      </c>
      <c r="F30" s="11" t="s">
        <v>689</v>
      </c>
      <c r="G30" s="11" t="n">
        <v>3</v>
      </c>
      <c r="H30" s="11" t="n">
        <v>0</v>
      </c>
      <c r="I30" s="11" t="n">
        <v>0</v>
      </c>
      <c r="J30" s="11" t="n">
        <v>3</v>
      </c>
      <c r="K30" s="11" t="s">
        <v>646</v>
      </c>
      <c r="L30" s="11" t="s">
        <v>158</v>
      </c>
      <c r="M30" s="11"/>
    </row>
    <row r="31" customFormat="false" ht="15" hidden="false" customHeight="false" outlineLevel="0" collapsed="false">
      <c r="A31" s="11" t="s">
        <v>690</v>
      </c>
      <c r="B31" s="11" t="s">
        <v>691</v>
      </c>
      <c r="C31" s="11" t="s">
        <v>637</v>
      </c>
      <c r="D31" s="11" t="s">
        <v>596</v>
      </c>
      <c r="E31" s="11" t="s">
        <v>45</v>
      </c>
      <c r="F31" s="11" t="s">
        <v>651</v>
      </c>
      <c r="G31" s="11" t="n">
        <v>30</v>
      </c>
      <c r="H31" s="11" t="n">
        <v>30</v>
      </c>
      <c r="I31" s="11" t="n">
        <v>0</v>
      </c>
      <c r="J31" s="11" t="n">
        <v>30</v>
      </c>
      <c r="K31" s="11" t="s">
        <v>639</v>
      </c>
      <c r="L31" s="11"/>
      <c r="M31" s="11"/>
    </row>
    <row r="32" customFormat="false" ht="15" hidden="false" customHeight="false" outlineLevel="0" collapsed="false">
      <c r="A32" s="11" t="s">
        <v>690</v>
      </c>
      <c r="B32" s="11" t="s">
        <v>692</v>
      </c>
      <c r="C32" s="11" t="s">
        <v>637</v>
      </c>
      <c r="D32" s="11" t="s">
        <v>596</v>
      </c>
      <c r="E32" s="11" t="s">
        <v>45</v>
      </c>
      <c r="F32" s="11" t="s">
        <v>651</v>
      </c>
      <c r="G32" s="11" t="n">
        <v>24</v>
      </c>
      <c r="H32" s="11" t="n">
        <v>24</v>
      </c>
      <c r="I32" s="11" t="n">
        <v>0</v>
      </c>
      <c r="J32" s="11" t="n">
        <v>24</v>
      </c>
      <c r="K32" s="11" t="s">
        <v>639</v>
      </c>
      <c r="L32" s="11"/>
      <c r="M32" s="11"/>
    </row>
    <row r="33" customFormat="false" ht="15" hidden="false" customHeight="false" outlineLevel="0" collapsed="false">
      <c r="A33" s="11" t="s">
        <v>690</v>
      </c>
      <c r="B33" s="11" t="s">
        <v>648</v>
      </c>
      <c r="C33" s="11" t="s">
        <v>637</v>
      </c>
      <c r="D33" s="11" t="s">
        <v>596</v>
      </c>
      <c r="E33" s="11" t="s">
        <v>122</v>
      </c>
      <c r="F33" s="11" t="s">
        <v>123</v>
      </c>
      <c r="G33" s="11" t="n">
        <v>44</v>
      </c>
      <c r="H33" s="11" t="n">
        <v>0</v>
      </c>
      <c r="I33" s="11" t="n">
        <v>0</v>
      </c>
      <c r="J33" s="11" t="n">
        <v>44</v>
      </c>
      <c r="K33" s="11" t="s">
        <v>646</v>
      </c>
      <c r="L33" s="11" t="s">
        <v>124</v>
      </c>
      <c r="M33" s="11" t="s">
        <v>647</v>
      </c>
    </row>
    <row r="34" customFormat="false" ht="15" hidden="false" customHeight="false" outlineLevel="0" collapsed="false">
      <c r="A34" s="11" t="s">
        <v>690</v>
      </c>
      <c r="B34" s="11" t="s">
        <v>642</v>
      </c>
      <c r="C34" s="11" t="s">
        <v>637</v>
      </c>
      <c r="D34" s="11" t="s">
        <v>596</v>
      </c>
      <c r="E34" s="11" t="s">
        <v>60</v>
      </c>
      <c r="F34" s="11" t="s">
        <v>656</v>
      </c>
      <c r="G34" s="11" t="n">
        <v>7</v>
      </c>
      <c r="H34" s="11" t="n">
        <v>0</v>
      </c>
      <c r="I34" s="11" t="n">
        <v>0</v>
      </c>
      <c r="J34" s="11" t="n">
        <v>7</v>
      </c>
      <c r="K34" s="11" t="s">
        <v>646</v>
      </c>
      <c r="L34" s="11" t="s">
        <v>50</v>
      </c>
      <c r="M34" s="11"/>
    </row>
    <row r="35" customFormat="false" ht="15" hidden="false" customHeight="false" outlineLevel="0" collapsed="false">
      <c r="A35" s="11" t="s">
        <v>690</v>
      </c>
      <c r="B35" s="11" t="s">
        <v>669</v>
      </c>
      <c r="C35" s="11" t="s">
        <v>637</v>
      </c>
      <c r="D35" s="11" t="s">
        <v>596</v>
      </c>
      <c r="E35" s="11" t="s">
        <v>151</v>
      </c>
      <c r="F35" s="11" t="s">
        <v>672</v>
      </c>
      <c r="G35" s="11" t="n">
        <v>2</v>
      </c>
      <c r="H35" s="11" t="n">
        <v>0</v>
      </c>
      <c r="I35" s="11" t="n">
        <v>0</v>
      </c>
      <c r="J35" s="11" t="n">
        <v>2</v>
      </c>
      <c r="K35" s="11" t="s">
        <v>646</v>
      </c>
      <c r="L35" s="11" t="s">
        <v>50</v>
      </c>
      <c r="M35" s="11"/>
    </row>
    <row r="36" customFormat="false" ht="15" hidden="false" customHeight="false" outlineLevel="0" collapsed="false">
      <c r="A36" s="11" t="s">
        <v>690</v>
      </c>
      <c r="B36" s="11" t="s">
        <v>685</v>
      </c>
      <c r="C36" s="11" t="s">
        <v>637</v>
      </c>
      <c r="D36" s="11" t="s">
        <v>596</v>
      </c>
      <c r="E36" s="11" t="s">
        <v>48</v>
      </c>
      <c r="F36" s="11" t="s">
        <v>658</v>
      </c>
      <c r="G36" s="11" t="n">
        <v>3</v>
      </c>
      <c r="H36" s="11" t="n">
        <v>0</v>
      </c>
      <c r="I36" s="11" t="n">
        <v>0</v>
      </c>
      <c r="J36" s="11" t="n">
        <v>3</v>
      </c>
      <c r="K36" s="11" t="s">
        <v>646</v>
      </c>
      <c r="L36" s="11" t="s">
        <v>50</v>
      </c>
      <c r="M36" s="11"/>
    </row>
    <row r="37" customFormat="false" ht="15" hidden="false" customHeight="false" outlineLevel="0" collapsed="false">
      <c r="A37" s="11" t="s">
        <v>690</v>
      </c>
      <c r="B37" s="11" t="s">
        <v>693</v>
      </c>
      <c r="C37" s="11" t="s">
        <v>637</v>
      </c>
      <c r="D37" s="11" t="s">
        <v>596</v>
      </c>
      <c r="E37" s="11" t="s">
        <v>63</v>
      </c>
      <c r="F37" s="11" t="s">
        <v>674</v>
      </c>
      <c r="G37" s="11" t="n">
        <v>1</v>
      </c>
      <c r="H37" s="11" t="n">
        <v>0</v>
      </c>
      <c r="I37" s="11" t="n">
        <v>0</v>
      </c>
      <c r="J37" s="11" t="n">
        <v>1</v>
      </c>
      <c r="K37" s="11" t="s">
        <v>646</v>
      </c>
      <c r="L37" s="11" t="s">
        <v>50</v>
      </c>
      <c r="M37" s="11"/>
    </row>
    <row r="38" customFormat="false" ht="15" hidden="false" customHeight="false" outlineLevel="0" collapsed="false">
      <c r="A38" s="11" t="s">
        <v>690</v>
      </c>
      <c r="B38" s="11" t="s">
        <v>664</v>
      </c>
      <c r="C38" s="11" t="s">
        <v>637</v>
      </c>
      <c r="D38" s="11" t="s">
        <v>596</v>
      </c>
      <c r="E38" s="11" t="s">
        <v>153</v>
      </c>
      <c r="F38" s="11" t="s">
        <v>676</v>
      </c>
      <c r="G38" s="11" t="n">
        <v>27</v>
      </c>
      <c r="H38" s="11" t="n">
        <v>27</v>
      </c>
      <c r="I38" s="11" t="n">
        <v>0</v>
      </c>
      <c r="J38" s="11" t="n">
        <v>27</v>
      </c>
      <c r="K38" s="11" t="s">
        <v>639</v>
      </c>
      <c r="L38" s="11"/>
      <c r="M38" s="11"/>
    </row>
    <row r="39" customFormat="false" ht="15" hidden="false" customHeight="false" outlineLevel="0" collapsed="false">
      <c r="A39" s="11" t="s">
        <v>690</v>
      </c>
      <c r="B39" s="11" t="s">
        <v>640</v>
      </c>
      <c r="C39" s="11" t="s">
        <v>637</v>
      </c>
      <c r="D39" s="11" t="s">
        <v>596</v>
      </c>
      <c r="E39" s="11" t="s">
        <v>56</v>
      </c>
      <c r="F39" s="11" t="s">
        <v>676</v>
      </c>
      <c r="G39" s="11" t="n">
        <v>1</v>
      </c>
      <c r="H39" s="11" t="n">
        <v>0</v>
      </c>
      <c r="I39" s="11" t="n">
        <v>0</v>
      </c>
      <c r="J39" s="11" t="n">
        <v>1</v>
      </c>
      <c r="K39" s="11" t="s">
        <v>646</v>
      </c>
      <c r="L39" s="11" t="s">
        <v>58</v>
      </c>
      <c r="M39" s="11"/>
    </row>
    <row r="40" customFormat="false" ht="15" hidden="false" customHeight="false" outlineLevel="0" collapsed="false">
      <c r="A40" s="11" t="s">
        <v>690</v>
      </c>
      <c r="B40" s="11" t="s">
        <v>654</v>
      </c>
      <c r="C40" s="11" t="s">
        <v>637</v>
      </c>
      <c r="D40" s="11" t="s">
        <v>596</v>
      </c>
      <c r="E40" s="11" t="s">
        <v>113</v>
      </c>
      <c r="F40" s="11" t="s">
        <v>678</v>
      </c>
      <c r="G40" s="11" t="n">
        <v>3</v>
      </c>
      <c r="H40" s="11" t="n">
        <v>0</v>
      </c>
      <c r="I40" s="11" t="n">
        <v>0</v>
      </c>
      <c r="J40" s="11" t="n">
        <v>3</v>
      </c>
      <c r="K40" s="11" t="s">
        <v>646</v>
      </c>
      <c r="L40" s="11" t="s">
        <v>100</v>
      </c>
      <c r="M40" s="11"/>
    </row>
    <row r="41" customFormat="false" ht="15" hidden="false" customHeight="false" outlineLevel="0" collapsed="false">
      <c r="A41" s="11" t="s">
        <v>690</v>
      </c>
      <c r="B41" s="11" t="s">
        <v>694</v>
      </c>
      <c r="C41" s="11" t="s">
        <v>637</v>
      </c>
      <c r="D41" s="11" t="s">
        <v>596</v>
      </c>
      <c r="E41" s="11" t="s">
        <v>695</v>
      </c>
      <c r="F41" s="11" t="s">
        <v>696</v>
      </c>
      <c r="G41" s="11" t="n">
        <v>1</v>
      </c>
      <c r="H41" s="11" t="n">
        <v>1</v>
      </c>
      <c r="I41" s="11" t="n">
        <v>0</v>
      </c>
      <c r="J41" s="11" t="n">
        <v>1</v>
      </c>
      <c r="K41" s="11" t="s">
        <v>639</v>
      </c>
      <c r="L41" s="11"/>
      <c r="M41" s="11"/>
    </row>
    <row r="42" customFormat="false" ht="15" hidden="false" customHeight="false" outlineLevel="0" collapsed="false">
      <c r="A42" s="11" t="s">
        <v>697</v>
      </c>
      <c r="B42" s="11" t="s">
        <v>698</v>
      </c>
      <c r="C42" s="11" t="s">
        <v>637</v>
      </c>
      <c r="D42" s="11" t="s">
        <v>597</v>
      </c>
      <c r="E42" s="11" t="s">
        <v>52</v>
      </c>
      <c r="F42" s="11" t="s">
        <v>641</v>
      </c>
      <c r="G42" s="11" t="n">
        <v>13</v>
      </c>
      <c r="H42" s="11" t="n">
        <v>13</v>
      </c>
      <c r="I42" s="11" t="n">
        <v>0</v>
      </c>
      <c r="J42" s="11" t="n">
        <v>13</v>
      </c>
      <c r="K42" s="11" t="s">
        <v>639</v>
      </c>
      <c r="L42" s="11"/>
      <c r="M42" s="11"/>
    </row>
    <row r="43" customFormat="false" ht="15" hidden="false" customHeight="false" outlineLevel="0" collapsed="false">
      <c r="A43" s="11" t="s">
        <v>697</v>
      </c>
      <c r="B43" s="11" t="s">
        <v>699</v>
      </c>
      <c r="C43" s="11" t="s">
        <v>637</v>
      </c>
      <c r="D43" s="11" t="s">
        <v>597</v>
      </c>
      <c r="E43" s="11" t="s">
        <v>110</v>
      </c>
      <c r="F43" s="11" t="s">
        <v>643</v>
      </c>
      <c r="G43" s="11" t="n">
        <v>20</v>
      </c>
      <c r="H43" s="11" t="n">
        <v>20</v>
      </c>
      <c r="I43" s="11" t="n">
        <v>0</v>
      </c>
      <c r="J43" s="11" t="n">
        <v>20</v>
      </c>
      <c r="K43" s="11" t="s">
        <v>639</v>
      </c>
      <c r="L43" s="11"/>
      <c r="M43" s="11"/>
    </row>
    <row r="44" customFormat="false" ht="15" hidden="false" customHeight="false" outlineLevel="0" collapsed="false">
      <c r="A44" s="11" t="s">
        <v>697</v>
      </c>
      <c r="B44" s="11" t="s">
        <v>644</v>
      </c>
      <c r="C44" s="11" t="s">
        <v>637</v>
      </c>
      <c r="D44" s="11" t="s">
        <v>597</v>
      </c>
      <c r="E44" s="11" t="s">
        <v>45</v>
      </c>
      <c r="F44" s="11" t="s">
        <v>651</v>
      </c>
      <c r="G44" s="11" t="n">
        <v>14</v>
      </c>
      <c r="H44" s="11" t="n">
        <v>14</v>
      </c>
      <c r="I44" s="11" t="n">
        <v>0</v>
      </c>
      <c r="J44" s="11" t="n">
        <v>14</v>
      </c>
      <c r="K44" s="11" t="s">
        <v>639</v>
      </c>
      <c r="L44" s="11"/>
      <c r="M44" s="11"/>
    </row>
    <row r="45" customFormat="false" ht="15" hidden="false" customHeight="false" outlineLevel="0" collapsed="false">
      <c r="A45" s="11" t="s">
        <v>697</v>
      </c>
      <c r="B45" s="11" t="s">
        <v>700</v>
      </c>
      <c r="C45" s="11" t="s">
        <v>637</v>
      </c>
      <c r="D45" s="11" t="s">
        <v>597</v>
      </c>
      <c r="E45" s="11" t="s">
        <v>148</v>
      </c>
      <c r="F45" s="11" t="s">
        <v>701</v>
      </c>
      <c r="G45" s="11" t="n">
        <v>50</v>
      </c>
      <c r="H45" s="11" t="n">
        <v>0</v>
      </c>
      <c r="I45" s="11" t="n">
        <v>0</v>
      </c>
      <c r="J45" s="11" t="n">
        <v>50</v>
      </c>
      <c r="K45" s="11" t="s">
        <v>646</v>
      </c>
      <c r="L45" s="11" t="s">
        <v>150</v>
      </c>
      <c r="M45" s="11" t="s">
        <v>647</v>
      </c>
    </row>
    <row r="46" customFormat="false" ht="15" hidden="false" customHeight="false" outlineLevel="0" collapsed="false">
      <c r="A46" s="11" t="s">
        <v>697</v>
      </c>
      <c r="B46" s="11" t="s">
        <v>654</v>
      </c>
      <c r="C46" s="11" t="s">
        <v>637</v>
      </c>
      <c r="D46" s="11" t="s">
        <v>597</v>
      </c>
      <c r="E46" s="11" t="s">
        <v>126</v>
      </c>
      <c r="F46" s="11" t="s">
        <v>127</v>
      </c>
      <c r="G46" s="11" t="n">
        <v>70</v>
      </c>
      <c r="H46" s="11" t="n">
        <v>0</v>
      </c>
      <c r="I46" s="11" t="n">
        <v>0</v>
      </c>
      <c r="J46" s="11" t="n">
        <v>70</v>
      </c>
      <c r="K46" s="11" t="s">
        <v>646</v>
      </c>
      <c r="L46" s="11" t="s">
        <v>128</v>
      </c>
      <c r="M46" s="11" t="s">
        <v>647</v>
      </c>
    </row>
    <row r="47" customFormat="false" ht="15" hidden="false" customHeight="false" outlineLevel="0" collapsed="false">
      <c r="A47" s="11" t="s">
        <v>697</v>
      </c>
      <c r="B47" s="11" t="s">
        <v>702</v>
      </c>
      <c r="C47" s="11" t="s">
        <v>637</v>
      </c>
      <c r="D47" s="11" t="s">
        <v>597</v>
      </c>
      <c r="E47" s="11" t="s">
        <v>60</v>
      </c>
      <c r="F47" s="11" t="s">
        <v>656</v>
      </c>
      <c r="G47" s="11" t="n">
        <v>5</v>
      </c>
      <c r="H47" s="11" t="n">
        <v>0</v>
      </c>
      <c r="I47" s="11" t="n">
        <v>0</v>
      </c>
      <c r="J47" s="11" t="n">
        <v>5</v>
      </c>
      <c r="K47" s="11" t="s">
        <v>646</v>
      </c>
      <c r="L47" s="11" t="s">
        <v>50</v>
      </c>
      <c r="M47" s="11"/>
    </row>
    <row r="48" customFormat="false" ht="15" hidden="false" customHeight="false" outlineLevel="0" collapsed="false">
      <c r="A48" s="11" t="s">
        <v>697</v>
      </c>
      <c r="B48" s="11" t="s">
        <v>703</v>
      </c>
      <c r="C48" s="11" t="s">
        <v>637</v>
      </c>
      <c r="D48" s="11" t="s">
        <v>597</v>
      </c>
      <c r="E48" s="11" t="s">
        <v>151</v>
      </c>
      <c r="F48" s="11" t="s">
        <v>672</v>
      </c>
      <c r="G48" s="11" t="n">
        <v>1</v>
      </c>
      <c r="H48" s="11" t="n">
        <v>0</v>
      </c>
      <c r="I48" s="11" t="n">
        <v>0</v>
      </c>
      <c r="J48" s="11" t="n">
        <v>1</v>
      </c>
      <c r="K48" s="11" t="s">
        <v>646</v>
      </c>
      <c r="L48" s="11" t="s">
        <v>50</v>
      </c>
      <c r="M48" s="11"/>
    </row>
    <row r="49" customFormat="false" ht="15" hidden="false" customHeight="false" outlineLevel="0" collapsed="false">
      <c r="A49" s="11" t="s">
        <v>697</v>
      </c>
      <c r="B49" s="11" t="s">
        <v>704</v>
      </c>
      <c r="C49" s="11" t="s">
        <v>637</v>
      </c>
      <c r="D49" s="11" t="s">
        <v>597</v>
      </c>
      <c r="E49" s="11" t="s">
        <v>48</v>
      </c>
      <c r="F49" s="11" t="s">
        <v>658</v>
      </c>
      <c r="G49" s="11" t="n">
        <v>31</v>
      </c>
      <c r="H49" s="11" t="n">
        <v>0</v>
      </c>
      <c r="I49" s="11" t="n">
        <v>0</v>
      </c>
      <c r="J49" s="11" t="n">
        <v>31</v>
      </c>
      <c r="K49" s="11" t="s">
        <v>646</v>
      </c>
      <c r="L49" s="11" t="s">
        <v>50</v>
      </c>
      <c r="M49" s="11"/>
    </row>
    <row r="50" customFormat="false" ht="15" hidden="false" customHeight="false" outlineLevel="0" collapsed="false">
      <c r="A50" s="11" t="s">
        <v>697</v>
      </c>
      <c r="B50" s="11" t="s">
        <v>679</v>
      </c>
      <c r="C50" s="11" t="s">
        <v>637</v>
      </c>
      <c r="D50" s="11" t="s">
        <v>597</v>
      </c>
      <c r="E50" s="11" t="s">
        <v>63</v>
      </c>
      <c r="F50" s="11" t="s">
        <v>674</v>
      </c>
      <c r="G50" s="11" t="n">
        <v>5</v>
      </c>
      <c r="H50" s="11" t="n">
        <v>0</v>
      </c>
      <c r="I50" s="11" t="n">
        <v>0</v>
      </c>
      <c r="J50" s="11" t="n">
        <v>5</v>
      </c>
      <c r="K50" s="11" t="s">
        <v>646</v>
      </c>
      <c r="L50" s="11" t="s">
        <v>50</v>
      </c>
      <c r="M50" s="11"/>
    </row>
    <row r="51" customFormat="false" ht="15" hidden="false" customHeight="false" outlineLevel="0" collapsed="false">
      <c r="A51" s="11" t="s">
        <v>697</v>
      </c>
      <c r="B51" s="11" t="s">
        <v>705</v>
      </c>
      <c r="C51" s="11" t="s">
        <v>637</v>
      </c>
      <c r="D51" s="11" t="s">
        <v>597</v>
      </c>
      <c r="E51" s="11" t="s">
        <v>56</v>
      </c>
      <c r="F51" s="11" t="s">
        <v>676</v>
      </c>
      <c r="G51" s="11" t="n">
        <v>25</v>
      </c>
      <c r="H51" s="11" t="n">
        <v>0</v>
      </c>
      <c r="I51" s="11" t="n">
        <v>0</v>
      </c>
      <c r="J51" s="11" t="n">
        <v>25</v>
      </c>
      <c r="K51" s="11" t="s">
        <v>646</v>
      </c>
      <c r="L51" s="11" t="s">
        <v>58</v>
      </c>
      <c r="M51" s="11"/>
    </row>
    <row r="52" customFormat="false" ht="15" hidden="false" customHeight="false" outlineLevel="0" collapsed="false">
      <c r="A52" s="11" t="s">
        <v>697</v>
      </c>
      <c r="B52" s="11" t="s">
        <v>706</v>
      </c>
      <c r="C52" s="11" t="s">
        <v>637</v>
      </c>
      <c r="D52" s="11" t="s">
        <v>597</v>
      </c>
      <c r="E52" s="11" t="s">
        <v>106</v>
      </c>
      <c r="F52" s="11" t="s">
        <v>707</v>
      </c>
      <c r="G52" s="11" t="n">
        <v>1</v>
      </c>
      <c r="H52" s="11" t="n">
        <v>0</v>
      </c>
      <c r="I52" s="11" t="n">
        <v>0</v>
      </c>
      <c r="J52" s="11" t="n">
        <v>1</v>
      </c>
      <c r="K52" s="11" t="s">
        <v>646</v>
      </c>
      <c r="L52" s="11" t="s">
        <v>108</v>
      </c>
      <c r="M52" s="11"/>
    </row>
    <row r="53" customFormat="false" ht="15" hidden="false" customHeight="false" outlineLevel="0" collapsed="false">
      <c r="A53" s="11" t="s">
        <v>697</v>
      </c>
      <c r="B53" s="11" t="s">
        <v>708</v>
      </c>
      <c r="C53" s="11" t="s">
        <v>637</v>
      </c>
      <c r="D53" s="11" t="s">
        <v>597</v>
      </c>
      <c r="E53" s="11" t="s">
        <v>113</v>
      </c>
      <c r="F53" s="11" t="s">
        <v>678</v>
      </c>
      <c r="G53" s="11" t="n">
        <v>25</v>
      </c>
      <c r="H53" s="11" t="n">
        <v>0</v>
      </c>
      <c r="I53" s="11" t="n">
        <v>0</v>
      </c>
      <c r="J53" s="11" t="n">
        <v>25</v>
      </c>
      <c r="K53" s="11" t="s">
        <v>646</v>
      </c>
      <c r="L53" s="11" t="s">
        <v>100</v>
      </c>
      <c r="M53" s="11"/>
    </row>
    <row r="54" customFormat="false" ht="15" hidden="false" customHeight="false" outlineLevel="0" collapsed="false">
      <c r="A54" s="11" t="s">
        <v>697</v>
      </c>
      <c r="B54" s="11" t="s">
        <v>640</v>
      </c>
      <c r="C54" s="11" t="s">
        <v>637</v>
      </c>
      <c r="D54" s="11" t="s">
        <v>597</v>
      </c>
      <c r="E54" s="11" t="s">
        <v>102</v>
      </c>
      <c r="F54" s="11" t="s">
        <v>709</v>
      </c>
      <c r="G54" s="11" t="n">
        <v>20</v>
      </c>
      <c r="H54" s="11" t="n">
        <v>0</v>
      </c>
      <c r="I54" s="11" t="n">
        <v>0</v>
      </c>
      <c r="J54" s="11" t="n">
        <v>20</v>
      </c>
      <c r="K54" s="11" t="s">
        <v>646</v>
      </c>
      <c r="L54" s="11" t="s">
        <v>104</v>
      </c>
      <c r="M54" s="11"/>
    </row>
    <row r="55" customFormat="false" ht="15" hidden="false" customHeight="false" outlineLevel="0" collapsed="false">
      <c r="A55" s="11" t="s">
        <v>697</v>
      </c>
      <c r="B55" s="11" t="s">
        <v>667</v>
      </c>
      <c r="C55" s="11" t="s">
        <v>637</v>
      </c>
      <c r="D55" s="11" t="s">
        <v>597</v>
      </c>
      <c r="E55" s="11" t="s">
        <v>710</v>
      </c>
      <c r="F55" s="11" t="s">
        <v>711</v>
      </c>
      <c r="G55" s="11" t="n">
        <v>71</v>
      </c>
      <c r="H55" s="11" t="n">
        <v>0</v>
      </c>
      <c r="I55" s="11" t="n">
        <v>0</v>
      </c>
      <c r="J55" s="11" t="n">
        <v>71</v>
      </c>
      <c r="K55" s="11" t="s">
        <v>646</v>
      </c>
      <c r="L55" s="11" t="s">
        <v>108</v>
      </c>
      <c r="M55" s="11"/>
    </row>
    <row r="56" customFormat="false" ht="15" hidden="false" customHeight="false" outlineLevel="0" collapsed="false">
      <c r="A56" s="11" t="s">
        <v>697</v>
      </c>
      <c r="B56" s="11" t="s">
        <v>712</v>
      </c>
      <c r="C56" s="11" t="s">
        <v>637</v>
      </c>
      <c r="D56" s="11" t="s">
        <v>597</v>
      </c>
      <c r="E56" s="11" t="s">
        <v>142</v>
      </c>
      <c r="F56" s="11" t="s">
        <v>713</v>
      </c>
      <c r="G56" s="11" t="n">
        <v>72</v>
      </c>
      <c r="H56" s="11" t="n">
        <v>0</v>
      </c>
      <c r="I56" s="11" t="n">
        <v>34</v>
      </c>
      <c r="J56" s="11" t="n">
        <v>38</v>
      </c>
      <c r="K56" s="11" t="s">
        <v>646</v>
      </c>
      <c r="L56" s="11" t="s">
        <v>144</v>
      </c>
      <c r="M56" s="11"/>
    </row>
    <row r="57" customFormat="false" ht="15" hidden="false" customHeight="false" outlineLevel="0" collapsed="false">
      <c r="A57" s="11" t="s">
        <v>697</v>
      </c>
      <c r="B57" s="11" t="s">
        <v>714</v>
      </c>
      <c r="C57" s="11" t="s">
        <v>637</v>
      </c>
      <c r="D57" s="11" t="s">
        <v>597</v>
      </c>
      <c r="E57" s="11" t="s">
        <v>682</v>
      </c>
      <c r="F57" s="11" t="s">
        <v>683</v>
      </c>
      <c r="G57" s="11" t="n">
        <v>6</v>
      </c>
      <c r="H57" s="11" t="n">
        <v>6</v>
      </c>
      <c r="I57" s="11" t="n">
        <v>0</v>
      </c>
      <c r="J57" s="11" t="n">
        <v>6</v>
      </c>
      <c r="K57" s="11" t="s">
        <v>639</v>
      </c>
      <c r="L57" s="11"/>
      <c r="M57" s="11"/>
    </row>
    <row r="58" customFormat="false" ht="15" hidden="false" customHeight="false" outlineLevel="0" collapsed="false">
      <c r="A58" s="11" t="s">
        <v>697</v>
      </c>
      <c r="B58" s="11" t="s">
        <v>715</v>
      </c>
      <c r="C58" s="11" t="s">
        <v>637</v>
      </c>
      <c r="D58" s="11" t="s">
        <v>597</v>
      </c>
      <c r="E58" s="11" t="s">
        <v>156</v>
      </c>
      <c r="F58" s="11" t="s">
        <v>689</v>
      </c>
      <c r="G58" s="11" t="n">
        <v>3</v>
      </c>
      <c r="H58" s="11" t="n">
        <v>0</v>
      </c>
      <c r="I58" s="11" t="n">
        <v>0</v>
      </c>
      <c r="J58" s="11" t="n">
        <v>3</v>
      </c>
      <c r="K58" s="11" t="s">
        <v>646</v>
      </c>
      <c r="L58" s="11" t="s">
        <v>158</v>
      </c>
      <c r="M58" s="11"/>
    </row>
    <row r="59" customFormat="false" ht="15" hidden="false" customHeight="false" outlineLevel="0" collapsed="false">
      <c r="A59" s="11" t="s">
        <v>716</v>
      </c>
      <c r="B59" s="11" t="s">
        <v>717</v>
      </c>
      <c r="C59" s="11" t="s">
        <v>637</v>
      </c>
      <c r="D59" s="11"/>
      <c r="E59" s="11" t="s">
        <v>718</v>
      </c>
      <c r="F59" s="11" t="s">
        <v>719</v>
      </c>
      <c r="G59" s="11" t="n">
        <v>86800</v>
      </c>
      <c r="H59" s="11" t="n">
        <v>0</v>
      </c>
      <c r="I59" s="11" t="n">
        <v>0</v>
      </c>
      <c r="J59" s="11" t="n">
        <v>86800</v>
      </c>
      <c r="K59" s="11" t="s">
        <v>646</v>
      </c>
      <c r="L59" s="11" t="s">
        <v>720</v>
      </c>
      <c r="M59" s="11"/>
    </row>
    <row r="60" customFormat="false" ht="15" hidden="false" customHeight="false" outlineLevel="0" collapsed="false">
      <c r="A60" s="11" t="s">
        <v>721</v>
      </c>
      <c r="B60" s="11" t="s">
        <v>722</v>
      </c>
      <c r="C60" s="11" t="s">
        <v>637</v>
      </c>
      <c r="D60" s="11" t="s">
        <v>598</v>
      </c>
      <c r="E60" s="11" t="s">
        <v>52</v>
      </c>
      <c r="F60" s="11" t="s">
        <v>641</v>
      </c>
      <c r="G60" s="11" t="n">
        <v>25</v>
      </c>
      <c r="H60" s="11" t="n">
        <v>25</v>
      </c>
      <c r="I60" s="11" t="n">
        <v>0</v>
      </c>
      <c r="J60" s="11" t="n">
        <v>25</v>
      </c>
      <c r="K60" s="11" t="s">
        <v>639</v>
      </c>
      <c r="L60" s="11"/>
      <c r="M60" s="11"/>
    </row>
    <row r="61" customFormat="false" ht="15" hidden="false" customHeight="false" outlineLevel="0" collapsed="false">
      <c r="A61" s="11" t="s">
        <v>721</v>
      </c>
      <c r="B61" s="11" t="s">
        <v>648</v>
      </c>
      <c r="C61" s="11" t="s">
        <v>637</v>
      </c>
      <c r="D61" s="11" t="s">
        <v>598</v>
      </c>
      <c r="E61" s="11" t="s">
        <v>74</v>
      </c>
      <c r="F61" s="11" t="s">
        <v>649</v>
      </c>
      <c r="G61" s="11" t="n">
        <v>13</v>
      </c>
      <c r="H61" s="11" t="n">
        <v>0</v>
      </c>
      <c r="I61" s="11" t="n">
        <v>0</v>
      </c>
      <c r="J61" s="11" t="n">
        <v>13</v>
      </c>
      <c r="K61" s="11" t="s">
        <v>646</v>
      </c>
      <c r="L61" s="11" t="s">
        <v>43</v>
      </c>
      <c r="M61" s="11" t="s">
        <v>647</v>
      </c>
    </row>
    <row r="62" customFormat="false" ht="15" hidden="false" customHeight="false" outlineLevel="0" collapsed="false">
      <c r="A62" s="11" t="s">
        <v>721</v>
      </c>
      <c r="B62" s="11" t="s">
        <v>650</v>
      </c>
      <c r="C62" s="11" t="s">
        <v>637</v>
      </c>
      <c r="D62" s="11" t="s">
        <v>598</v>
      </c>
      <c r="E62" s="11" t="s">
        <v>45</v>
      </c>
      <c r="F62" s="11" t="s">
        <v>651</v>
      </c>
      <c r="G62" s="11" t="n">
        <v>1</v>
      </c>
      <c r="H62" s="11" t="n">
        <v>1</v>
      </c>
      <c r="I62" s="11" t="n">
        <v>0</v>
      </c>
      <c r="J62" s="11" t="n">
        <v>1</v>
      </c>
      <c r="K62" s="11" t="s">
        <v>639</v>
      </c>
      <c r="L62" s="11"/>
      <c r="M62" s="11"/>
    </row>
    <row r="63" customFormat="false" ht="15" hidden="false" customHeight="false" outlineLevel="0" collapsed="false">
      <c r="A63" s="11" t="s">
        <v>721</v>
      </c>
      <c r="B63" s="11" t="s">
        <v>652</v>
      </c>
      <c r="C63" s="11" t="s">
        <v>637</v>
      </c>
      <c r="D63" s="11" t="s">
        <v>598</v>
      </c>
      <c r="E63" s="11" t="s">
        <v>122</v>
      </c>
      <c r="F63" s="11" t="s">
        <v>123</v>
      </c>
      <c r="G63" s="11" t="n">
        <v>50</v>
      </c>
      <c r="H63" s="11" t="n">
        <v>0</v>
      </c>
      <c r="I63" s="11" t="n">
        <v>0</v>
      </c>
      <c r="J63" s="11" t="n">
        <v>50</v>
      </c>
      <c r="K63" s="11" t="s">
        <v>646</v>
      </c>
      <c r="L63" s="11" t="s">
        <v>124</v>
      </c>
      <c r="M63" s="11" t="s">
        <v>647</v>
      </c>
    </row>
    <row r="64" customFormat="false" ht="15" hidden="false" customHeight="false" outlineLevel="0" collapsed="false">
      <c r="A64" s="11" t="s">
        <v>721</v>
      </c>
      <c r="B64" s="11" t="s">
        <v>703</v>
      </c>
      <c r="C64" s="11" t="s">
        <v>637</v>
      </c>
      <c r="D64" s="11" t="s">
        <v>598</v>
      </c>
      <c r="E64" s="11" t="s">
        <v>151</v>
      </c>
      <c r="F64" s="11" t="s">
        <v>672</v>
      </c>
      <c r="G64" s="11" t="n">
        <v>4</v>
      </c>
      <c r="H64" s="11" t="n">
        <v>0</v>
      </c>
      <c r="I64" s="11" t="n">
        <v>0</v>
      </c>
      <c r="J64" s="11" t="n">
        <v>4</v>
      </c>
      <c r="K64" s="11" t="s">
        <v>646</v>
      </c>
      <c r="L64" s="11" t="s">
        <v>50</v>
      </c>
      <c r="M64" s="11"/>
    </row>
    <row r="65" customFormat="false" ht="15" hidden="false" customHeight="false" outlineLevel="0" collapsed="false">
      <c r="A65" s="11" t="s">
        <v>721</v>
      </c>
      <c r="B65" s="11" t="s">
        <v>704</v>
      </c>
      <c r="C65" s="11" t="s">
        <v>637</v>
      </c>
      <c r="D65" s="11" t="s">
        <v>598</v>
      </c>
      <c r="E65" s="11" t="s">
        <v>48</v>
      </c>
      <c r="F65" s="11" t="s">
        <v>658</v>
      </c>
      <c r="G65" s="11" t="n">
        <v>2</v>
      </c>
      <c r="H65" s="11" t="n">
        <v>0</v>
      </c>
      <c r="I65" s="11" t="n">
        <v>0</v>
      </c>
      <c r="J65" s="11" t="n">
        <v>2</v>
      </c>
      <c r="K65" s="11" t="s">
        <v>646</v>
      </c>
      <c r="L65" s="11" t="s">
        <v>50</v>
      </c>
      <c r="M65" s="11"/>
    </row>
    <row r="66" customFormat="false" ht="15" hidden="false" customHeight="false" outlineLevel="0" collapsed="false">
      <c r="A66" s="11" t="s">
        <v>721</v>
      </c>
      <c r="B66" s="11" t="s">
        <v>723</v>
      </c>
      <c r="C66" s="11" t="s">
        <v>637</v>
      </c>
      <c r="D66" s="11" t="s">
        <v>598</v>
      </c>
      <c r="E66" s="11" t="s">
        <v>63</v>
      </c>
      <c r="F66" s="11" t="s">
        <v>674</v>
      </c>
      <c r="G66" s="11" t="n">
        <v>7</v>
      </c>
      <c r="H66" s="11" t="n">
        <v>0</v>
      </c>
      <c r="I66" s="11" t="n">
        <v>0</v>
      </c>
      <c r="J66" s="11" t="n">
        <v>7</v>
      </c>
      <c r="K66" s="11" t="s">
        <v>646</v>
      </c>
      <c r="L66" s="11" t="s">
        <v>50</v>
      </c>
      <c r="M66" s="11"/>
    </row>
    <row r="67" customFormat="false" ht="15" hidden="false" customHeight="false" outlineLevel="0" collapsed="false">
      <c r="A67" s="11" t="s">
        <v>721</v>
      </c>
      <c r="B67" s="11" t="s">
        <v>705</v>
      </c>
      <c r="C67" s="11" t="s">
        <v>637</v>
      </c>
      <c r="D67" s="11" t="s">
        <v>598</v>
      </c>
      <c r="E67" s="11" t="s">
        <v>724</v>
      </c>
      <c r="F67" s="11" t="s">
        <v>725</v>
      </c>
      <c r="G67" s="11" t="n">
        <v>2</v>
      </c>
      <c r="H67" s="11" t="n">
        <v>0</v>
      </c>
      <c r="I67" s="11" t="n">
        <v>0</v>
      </c>
      <c r="J67" s="11" t="n">
        <v>2</v>
      </c>
      <c r="K67" s="11" t="s">
        <v>646</v>
      </c>
      <c r="L67" s="11" t="s">
        <v>50</v>
      </c>
      <c r="M67" s="11"/>
    </row>
    <row r="68" customFormat="false" ht="15" hidden="false" customHeight="false" outlineLevel="0" collapsed="false">
      <c r="A68" s="11" t="s">
        <v>721</v>
      </c>
      <c r="B68" s="11" t="s">
        <v>726</v>
      </c>
      <c r="C68" s="11" t="s">
        <v>637</v>
      </c>
      <c r="D68" s="11" t="s">
        <v>598</v>
      </c>
      <c r="E68" s="11" t="s">
        <v>56</v>
      </c>
      <c r="F68" s="11" t="s">
        <v>676</v>
      </c>
      <c r="G68" s="11" t="n">
        <v>10</v>
      </c>
      <c r="H68" s="11" t="n">
        <v>0</v>
      </c>
      <c r="I68" s="11" t="n">
        <v>0</v>
      </c>
      <c r="J68" s="11" t="n">
        <v>10</v>
      </c>
      <c r="K68" s="11" t="s">
        <v>646</v>
      </c>
      <c r="L68" s="11" t="s">
        <v>58</v>
      </c>
      <c r="M68" s="11"/>
    </row>
    <row r="69" customFormat="false" ht="15" hidden="false" customHeight="false" outlineLevel="0" collapsed="false">
      <c r="A69" s="11" t="s">
        <v>721</v>
      </c>
      <c r="B69" s="11" t="s">
        <v>712</v>
      </c>
      <c r="C69" s="11" t="s">
        <v>637</v>
      </c>
      <c r="D69" s="11" t="s">
        <v>598</v>
      </c>
      <c r="E69" s="11" t="s">
        <v>113</v>
      </c>
      <c r="F69" s="11" t="s">
        <v>678</v>
      </c>
      <c r="G69" s="11" t="n">
        <v>30</v>
      </c>
      <c r="H69" s="11" t="n">
        <v>0</v>
      </c>
      <c r="I69" s="11" t="n">
        <v>0</v>
      </c>
      <c r="J69" s="11" t="n">
        <v>30</v>
      </c>
      <c r="K69" s="11" t="s">
        <v>646</v>
      </c>
      <c r="L69" s="11" t="s">
        <v>100</v>
      </c>
      <c r="M69" s="11"/>
    </row>
    <row r="70" customFormat="false" ht="15" hidden="false" customHeight="false" outlineLevel="0" collapsed="false">
      <c r="A70" s="11" t="s">
        <v>721</v>
      </c>
      <c r="B70" s="11" t="s">
        <v>727</v>
      </c>
      <c r="C70" s="11" t="s">
        <v>637</v>
      </c>
      <c r="D70" s="11" t="s">
        <v>598</v>
      </c>
      <c r="E70" s="11" t="s">
        <v>71</v>
      </c>
      <c r="F70" s="11" t="s">
        <v>680</v>
      </c>
      <c r="G70" s="11" t="n">
        <v>3</v>
      </c>
      <c r="H70" s="11" t="n">
        <v>3</v>
      </c>
      <c r="I70" s="11" t="n">
        <v>0</v>
      </c>
      <c r="J70" s="11" t="n">
        <v>3</v>
      </c>
      <c r="K70" s="11" t="s">
        <v>639</v>
      </c>
      <c r="L70" s="11"/>
      <c r="M70" s="11"/>
    </row>
    <row r="71" customFormat="false" ht="15" hidden="false" customHeight="false" outlineLevel="0" collapsed="false">
      <c r="A71" s="11" t="s">
        <v>721</v>
      </c>
      <c r="B71" s="11" t="s">
        <v>728</v>
      </c>
      <c r="C71" s="11" t="s">
        <v>637</v>
      </c>
      <c r="D71" s="11" t="s">
        <v>598</v>
      </c>
      <c r="E71" s="11" t="s">
        <v>142</v>
      </c>
      <c r="F71" s="11" t="s">
        <v>713</v>
      </c>
      <c r="G71" s="11" t="n">
        <v>25</v>
      </c>
      <c r="H71" s="11" t="n">
        <v>0</v>
      </c>
      <c r="I71" s="11" t="n">
        <v>0</v>
      </c>
      <c r="J71" s="11" t="n">
        <v>25</v>
      </c>
      <c r="K71" s="11" t="s">
        <v>646</v>
      </c>
      <c r="L71" s="11" t="s">
        <v>144</v>
      </c>
      <c r="M71" s="11"/>
    </row>
    <row r="72" customFormat="false" ht="15" hidden="false" customHeight="false" outlineLevel="0" collapsed="false">
      <c r="A72" s="11" t="s">
        <v>721</v>
      </c>
      <c r="B72" s="11" t="s">
        <v>714</v>
      </c>
      <c r="C72" s="11" t="s">
        <v>637</v>
      </c>
      <c r="D72" s="11" t="s">
        <v>598</v>
      </c>
      <c r="E72" s="11" t="s">
        <v>682</v>
      </c>
      <c r="F72" s="11" t="s">
        <v>683</v>
      </c>
      <c r="G72" s="11" t="n">
        <v>20</v>
      </c>
      <c r="H72" s="11" t="n">
        <v>20</v>
      </c>
      <c r="I72" s="11" t="n">
        <v>0</v>
      </c>
      <c r="J72" s="11" t="n">
        <v>20</v>
      </c>
      <c r="K72" s="11" t="s">
        <v>639</v>
      </c>
      <c r="L72" s="11"/>
      <c r="M72" s="11"/>
    </row>
    <row r="73" customFormat="false" ht="15" hidden="false" customHeight="false" outlineLevel="0" collapsed="false">
      <c r="A73" s="11" t="s">
        <v>721</v>
      </c>
      <c r="B73" s="11" t="s">
        <v>715</v>
      </c>
      <c r="C73" s="11" t="s">
        <v>637</v>
      </c>
      <c r="D73" s="11" t="s">
        <v>598</v>
      </c>
      <c r="E73" s="11" t="s">
        <v>156</v>
      </c>
      <c r="F73" s="11" t="s">
        <v>689</v>
      </c>
      <c r="G73" s="11" t="n">
        <v>3</v>
      </c>
      <c r="H73" s="11" t="n">
        <v>0</v>
      </c>
      <c r="I73" s="11" t="n">
        <v>0</v>
      </c>
      <c r="J73" s="11" t="n">
        <v>3</v>
      </c>
      <c r="K73" s="11" t="s">
        <v>646</v>
      </c>
      <c r="L73" s="11" t="s">
        <v>158</v>
      </c>
      <c r="M73" s="11"/>
    </row>
    <row r="74" customFormat="false" ht="15" hidden="false" customHeight="false" outlineLevel="0" collapsed="false">
      <c r="A74" s="11" t="s">
        <v>729</v>
      </c>
      <c r="B74" s="11" t="s">
        <v>698</v>
      </c>
      <c r="C74" s="11" t="s">
        <v>637</v>
      </c>
      <c r="D74" s="11" t="s">
        <v>599</v>
      </c>
      <c r="E74" s="11" t="s">
        <v>52</v>
      </c>
      <c r="F74" s="11" t="s">
        <v>641</v>
      </c>
      <c r="G74" s="11" t="n">
        <v>35</v>
      </c>
      <c r="H74" s="11" t="n">
        <v>35</v>
      </c>
      <c r="I74" s="11" t="n">
        <v>0</v>
      </c>
      <c r="J74" s="11" t="n">
        <v>35</v>
      </c>
      <c r="K74" s="11" t="s">
        <v>639</v>
      </c>
      <c r="L74" s="11"/>
      <c r="M74" s="11"/>
    </row>
    <row r="75" customFormat="false" ht="15" hidden="false" customHeight="false" outlineLevel="0" collapsed="false">
      <c r="A75" s="11" t="s">
        <v>729</v>
      </c>
      <c r="B75" s="11" t="s">
        <v>694</v>
      </c>
      <c r="C75" s="11" t="s">
        <v>637</v>
      </c>
      <c r="D75" s="11" t="s">
        <v>599</v>
      </c>
      <c r="E75" s="11" t="s">
        <v>45</v>
      </c>
      <c r="F75" s="11" t="s">
        <v>651</v>
      </c>
      <c r="G75" s="11" t="n">
        <v>11</v>
      </c>
      <c r="H75" s="11" t="n">
        <v>11</v>
      </c>
      <c r="I75" s="11" t="n">
        <v>0</v>
      </c>
      <c r="J75" s="11" t="n">
        <v>11</v>
      </c>
      <c r="K75" s="11" t="s">
        <v>639</v>
      </c>
      <c r="L75" s="11"/>
      <c r="M75" s="11"/>
    </row>
    <row r="76" customFormat="false" ht="15" hidden="false" customHeight="false" outlineLevel="0" collapsed="false">
      <c r="A76" s="11" t="s">
        <v>729</v>
      </c>
      <c r="B76" s="11" t="s">
        <v>677</v>
      </c>
      <c r="C76" s="11" t="s">
        <v>637</v>
      </c>
      <c r="D76" s="11" t="s">
        <v>599</v>
      </c>
      <c r="E76" s="11" t="s">
        <v>68</v>
      </c>
      <c r="F76" s="11" t="s">
        <v>730</v>
      </c>
      <c r="G76" s="11" t="n">
        <v>4</v>
      </c>
      <c r="H76" s="11" t="n">
        <v>4</v>
      </c>
      <c r="I76" s="11" t="n">
        <v>0</v>
      </c>
      <c r="J76" s="11" t="n">
        <v>4</v>
      </c>
      <c r="K76" s="11" t="s">
        <v>639</v>
      </c>
      <c r="L76" s="11"/>
      <c r="M76" s="11"/>
    </row>
    <row r="77" customFormat="false" ht="15" hidden="false" customHeight="false" outlineLevel="0" collapsed="false">
      <c r="A77" s="11" t="s">
        <v>729</v>
      </c>
      <c r="B77" s="11" t="s">
        <v>699</v>
      </c>
      <c r="C77" s="11" t="s">
        <v>637</v>
      </c>
      <c r="D77" s="11" t="s">
        <v>599</v>
      </c>
      <c r="E77" s="11" t="s">
        <v>162</v>
      </c>
      <c r="F77" s="11" t="s">
        <v>731</v>
      </c>
      <c r="G77" s="11" t="n">
        <v>25</v>
      </c>
      <c r="H77" s="11" t="n">
        <v>25</v>
      </c>
      <c r="I77" s="11" t="n">
        <v>0</v>
      </c>
      <c r="J77" s="11" t="n">
        <v>25</v>
      </c>
      <c r="K77" s="11" t="s">
        <v>639</v>
      </c>
      <c r="L77" s="11"/>
      <c r="M77" s="11"/>
    </row>
    <row r="78" customFormat="false" ht="15" hidden="false" customHeight="false" outlineLevel="0" collapsed="false">
      <c r="A78" s="11" t="s">
        <v>729</v>
      </c>
      <c r="B78" s="11" t="s">
        <v>654</v>
      </c>
      <c r="C78" s="11" t="s">
        <v>637</v>
      </c>
      <c r="D78" s="11" t="s">
        <v>599</v>
      </c>
      <c r="E78" s="11" t="s">
        <v>126</v>
      </c>
      <c r="F78" s="11" t="s">
        <v>127</v>
      </c>
      <c r="G78" s="11" t="n">
        <v>60</v>
      </c>
      <c r="H78" s="11" t="n">
        <v>0</v>
      </c>
      <c r="I78" s="11" t="n">
        <v>0</v>
      </c>
      <c r="J78" s="11" t="n">
        <v>60</v>
      </c>
      <c r="K78" s="11" t="s">
        <v>646</v>
      </c>
      <c r="L78" s="11" t="s">
        <v>128</v>
      </c>
      <c r="M78" s="11" t="s">
        <v>647</v>
      </c>
    </row>
    <row r="79" customFormat="false" ht="15" hidden="false" customHeight="false" outlineLevel="0" collapsed="false">
      <c r="A79" s="11" t="s">
        <v>729</v>
      </c>
      <c r="B79" s="11" t="s">
        <v>700</v>
      </c>
      <c r="C79" s="11" t="s">
        <v>637</v>
      </c>
      <c r="D79" s="11" t="s">
        <v>599</v>
      </c>
      <c r="E79" s="11" t="s">
        <v>159</v>
      </c>
      <c r="F79" s="11" t="s">
        <v>732</v>
      </c>
      <c r="G79" s="11" t="n">
        <v>25</v>
      </c>
      <c r="H79" s="11" t="n">
        <v>0</v>
      </c>
      <c r="I79" s="11" t="n">
        <v>0</v>
      </c>
      <c r="J79" s="11" t="n">
        <v>25</v>
      </c>
      <c r="K79" s="11" t="s">
        <v>646</v>
      </c>
      <c r="L79" s="11" t="s">
        <v>161</v>
      </c>
      <c r="M79" s="11" t="s">
        <v>647</v>
      </c>
    </row>
    <row r="80" customFormat="false" ht="15" hidden="false" customHeight="false" outlineLevel="0" collapsed="false">
      <c r="A80" s="11" t="s">
        <v>729</v>
      </c>
      <c r="B80" s="11" t="s">
        <v>666</v>
      </c>
      <c r="C80" s="11" t="s">
        <v>637</v>
      </c>
      <c r="D80" s="11" t="s">
        <v>599</v>
      </c>
      <c r="E80" s="11" t="s">
        <v>60</v>
      </c>
      <c r="F80" s="11" t="s">
        <v>656</v>
      </c>
      <c r="G80" s="11" t="n">
        <v>40</v>
      </c>
      <c r="H80" s="11" t="n">
        <v>0</v>
      </c>
      <c r="I80" s="11" t="n">
        <v>0</v>
      </c>
      <c r="J80" s="11" t="n">
        <v>40</v>
      </c>
      <c r="K80" s="11" t="s">
        <v>646</v>
      </c>
      <c r="L80" s="11" t="s">
        <v>50</v>
      </c>
      <c r="M80" s="11"/>
    </row>
    <row r="81" customFormat="false" ht="15" hidden="false" customHeight="false" outlineLevel="0" collapsed="false">
      <c r="A81" s="11" t="s">
        <v>729</v>
      </c>
      <c r="B81" s="11" t="s">
        <v>704</v>
      </c>
      <c r="C81" s="11" t="s">
        <v>637</v>
      </c>
      <c r="D81" s="11" t="s">
        <v>599</v>
      </c>
      <c r="E81" s="11" t="s">
        <v>151</v>
      </c>
      <c r="F81" s="11" t="s">
        <v>672</v>
      </c>
      <c r="G81" s="11" t="n">
        <v>10</v>
      </c>
      <c r="H81" s="11" t="n">
        <v>0</v>
      </c>
      <c r="I81" s="11" t="n">
        <v>0</v>
      </c>
      <c r="J81" s="11" t="n">
        <v>10</v>
      </c>
      <c r="K81" s="11" t="s">
        <v>646</v>
      </c>
      <c r="L81" s="11" t="s">
        <v>50</v>
      </c>
      <c r="M81" s="11"/>
    </row>
    <row r="82" customFormat="false" ht="15" hidden="false" customHeight="false" outlineLevel="0" collapsed="false">
      <c r="A82" s="11" t="s">
        <v>729</v>
      </c>
      <c r="B82" s="11" t="s">
        <v>636</v>
      </c>
      <c r="C82" s="11" t="s">
        <v>637</v>
      </c>
      <c r="D82" s="11" t="s">
        <v>599</v>
      </c>
      <c r="E82" s="11" t="s">
        <v>48</v>
      </c>
      <c r="F82" s="11" t="s">
        <v>658</v>
      </c>
      <c r="G82" s="11" t="n">
        <v>18</v>
      </c>
      <c r="H82" s="11" t="n">
        <v>0</v>
      </c>
      <c r="I82" s="11" t="n">
        <v>0</v>
      </c>
      <c r="J82" s="11" t="n">
        <v>18</v>
      </c>
      <c r="K82" s="11" t="s">
        <v>646</v>
      </c>
      <c r="L82" s="11" t="s">
        <v>50</v>
      </c>
      <c r="M82" s="11"/>
    </row>
    <row r="83" customFormat="false" ht="15" hidden="false" customHeight="false" outlineLevel="0" collapsed="false">
      <c r="A83" s="11" t="s">
        <v>729</v>
      </c>
      <c r="B83" s="11" t="s">
        <v>706</v>
      </c>
      <c r="C83" s="11" t="s">
        <v>637</v>
      </c>
      <c r="D83" s="11" t="s">
        <v>599</v>
      </c>
      <c r="E83" s="11" t="s">
        <v>63</v>
      </c>
      <c r="F83" s="11" t="s">
        <v>674</v>
      </c>
      <c r="G83" s="11" t="n">
        <v>15</v>
      </c>
      <c r="H83" s="11" t="n">
        <v>0</v>
      </c>
      <c r="I83" s="11" t="n">
        <v>0</v>
      </c>
      <c r="J83" s="11" t="n">
        <v>15</v>
      </c>
      <c r="K83" s="11" t="s">
        <v>646</v>
      </c>
      <c r="L83" s="11" t="s">
        <v>50</v>
      </c>
      <c r="M83" s="11"/>
    </row>
    <row r="84" customFormat="false" ht="15" hidden="false" customHeight="false" outlineLevel="0" collapsed="false">
      <c r="A84" s="11" t="s">
        <v>729</v>
      </c>
      <c r="B84" s="11" t="s">
        <v>723</v>
      </c>
      <c r="C84" s="11" t="s">
        <v>637</v>
      </c>
      <c r="D84" s="11" t="s">
        <v>599</v>
      </c>
      <c r="E84" s="11" t="s">
        <v>153</v>
      </c>
      <c r="F84" s="11" t="s">
        <v>676</v>
      </c>
      <c r="G84" s="11" t="n">
        <v>7</v>
      </c>
      <c r="H84" s="11" t="n">
        <v>7</v>
      </c>
      <c r="I84" s="11" t="n">
        <v>0</v>
      </c>
      <c r="J84" s="11" t="n">
        <v>7</v>
      </c>
      <c r="K84" s="11" t="s">
        <v>639</v>
      </c>
      <c r="L84" s="11"/>
      <c r="M84" s="11"/>
    </row>
    <row r="85" customFormat="false" ht="15" hidden="false" customHeight="false" outlineLevel="0" collapsed="false">
      <c r="A85" s="11" t="s">
        <v>729</v>
      </c>
      <c r="B85" s="11" t="s">
        <v>702</v>
      </c>
      <c r="C85" s="11" t="s">
        <v>637</v>
      </c>
      <c r="D85" s="11" t="s">
        <v>599</v>
      </c>
      <c r="E85" s="11" t="s">
        <v>56</v>
      </c>
      <c r="F85" s="11" t="s">
        <v>676</v>
      </c>
      <c r="G85" s="11" t="n">
        <v>6</v>
      </c>
      <c r="H85" s="11" t="n">
        <v>0</v>
      </c>
      <c r="I85" s="11" t="n">
        <v>0</v>
      </c>
      <c r="J85" s="11" t="n">
        <v>6</v>
      </c>
      <c r="K85" s="11" t="s">
        <v>646</v>
      </c>
      <c r="L85" s="11" t="s">
        <v>58</v>
      </c>
      <c r="M85" s="11"/>
    </row>
    <row r="86" customFormat="false" ht="15" hidden="false" customHeight="false" outlineLevel="0" collapsed="false">
      <c r="A86" s="11" t="s">
        <v>729</v>
      </c>
      <c r="B86" s="11" t="s">
        <v>733</v>
      </c>
      <c r="C86" s="11" t="s">
        <v>637</v>
      </c>
      <c r="D86" s="11" t="s">
        <v>599</v>
      </c>
      <c r="E86" s="11" t="s">
        <v>106</v>
      </c>
      <c r="F86" s="11" t="s">
        <v>707</v>
      </c>
      <c r="G86" s="11" t="n">
        <v>1</v>
      </c>
      <c r="H86" s="11" t="n">
        <v>0</v>
      </c>
      <c r="I86" s="11" t="n">
        <v>0</v>
      </c>
      <c r="J86" s="11" t="n">
        <v>1</v>
      </c>
      <c r="K86" s="11" t="s">
        <v>646</v>
      </c>
      <c r="L86" s="11" t="s">
        <v>108</v>
      </c>
      <c r="M86" s="11"/>
    </row>
    <row r="87" customFormat="false" ht="15" hidden="false" customHeight="false" outlineLevel="0" collapsed="false">
      <c r="A87" s="11" t="s">
        <v>729</v>
      </c>
      <c r="B87" s="11" t="s">
        <v>712</v>
      </c>
      <c r="C87" s="11" t="s">
        <v>637</v>
      </c>
      <c r="D87" s="11" t="s">
        <v>599</v>
      </c>
      <c r="E87" s="11" t="s">
        <v>113</v>
      </c>
      <c r="F87" s="11" t="s">
        <v>678</v>
      </c>
      <c r="G87" s="11" t="n">
        <v>60</v>
      </c>
      <c r="H87" s="11" t="n">
        <v>0</v>
      </c>
      <c r="I87" s="11" t="n">
        <v>0</v>
      </c>
      <c r="J87" s="11" t="n">
        <v>60</v>
      </c>
      <c r="K87" s="11" t="s">
        <v>646</v>
      </c>
      <c r="L87" s="11" t="s">
        <v>100</v>
      </c>
      <c r="M87" s="11"/>
    </row>
    <row r="88" customFormat="false" ht="15" hidden="false" customHeight="false" outlineLevel="0" collapsed="false">
      <c r="A88" s="11" t="s">
        <v>729</v>
      </c>
      <c r="B88" s="11" t="s">
        <v>693</v>
      </c>
      <c r="C88" s="11" t="s">
        <v>637</v>
      </c>
      <c r="D88" s="11" t="s">
        <v>599</v>
      </c>
      <c r="E88" s="11" t="s">
        <v>102</v>
      </c>
      <c r="F88" s="11" t="s">
        <v>709</v>
      </c>
      <c r="G88" s="11" t="n">
        <v>40</v>
      </c>
      <c r="H88" s="11" t="n">
        <v>0</v>
      </c>
      <c r="I88" s="11" t="n">
        <v>0</v>
      </c>
      <c r="J88" s="11" t="n">
        <v>40</v>
      </c>
      <c r="K88" s="11" t="s">
        <v>646</v>
      </c>
      <c r="L88" s="11" t="s">
        <v>104</v>
      </c>
      <c r="M88" s="11"/>
    </row>
    <row r="89" customFormat="false" ht="15" hidden="false" customHeight="false" outlineLevel="0" collapsed="false">
      <c r="A89" s="11" t="s">
        <v>729</v>
      </c>
      <c r="B89" s="11" t="s">
        <v>728</v>
      </c>
      <c r="C89" s="11" t="s">
        <v>637</v>
      </c>
      <c r="D89" s="11" t="s">
        <v>599</v>
      </c>
      <c r="E89" s="11" t="s">
        <v>142</v>
      </c>
      <c r="F89" s="11" t="s">
        <v>713</v>
      </c>
      <c r="G89" s="11" t="n">
        <v>30</v>
      </c>
      <c r="H89" s="11" t="n">
        <v>0</v>
      </c>
      <c r="I89" s="11" t="n">
        <v>0</v>
      </c>
      <c r="J89" s="11" t="n">
        <v>30</v>
      </c>
      <c r="K89" s="11" t="s">
        <v>646</v>
      </c>
      <c r="L89" s="11" t="s">
        <v>144</v>
      </c>
      <c r="M89" s="11"/>
    </row>
    <row r="90" customFormat="false" ht="15" hidden="false" customHeight="false" outlineLevel="0" collapsed="false">
      <c r="A90" s="11" t="s">
        <v>729</v>
      </c>
      <c r="B90" s="11" t="s">
        <v>734</v>
      </c>
      <c r="C90" s="11" t="s">
        <v>637</v>
      </c>
      <c r="D90" s="11" t="s">
        <v>599</v>
      </c>
      <c r="E90" s="11" t="s">
        <v>682</v>
      </c>
      <c r="F90" s="11" t="s">
        <v>683</v>
      </c>
      <c r="G90" s="11" t="n">
        <v>25</v>
      </c>
      <c r="H90" s="11" t="n">
        <v>25</v>
      </c>
      <c r="I90" s="11" t="n">
        <v>0</v>
      </c>
      <c r="J90" s="11" t="n">
        <v>25</v>
      </c>
      <c r="K90" s="11" t="s">
        <v>639</v>
      </c>
      <c r="L90" s="11"/>
      <c r="M90" s="11"/>
    </row>
    <row r="91" customFormat="false" ht="15" hidden="false" customHeight="false" outlineLevel="0" collapsed="false">
      <c r="A91" s="11" t="s">
        <v>729</v>
      </c>
      <c r="B91" s="11" t="s">
        <v>652</v>
      </c>
      <c r="C91" s="11" t="s">
        <v>637</v>
      </c>
      <c r="D91" s="11" t="s">
        <v>599</v>
      </c>
      <c r="E91" s="11" t="s">
        <v>98</v>
      </c>
      <c r="F91" s="11" t="s">
        <v>686</v>
      </c>
      <c r="G91" s="11" t="n">
        <v>24</v>
      </c>
      <c r="H91" s="11" t="n">
        <v>0</v>
      </c>
      <c r="I91" s="11" t="n">
        <v>0</v>
      </c>
      <c r="J91" s="11" t="n">
        <v>24</v>
      </c>
      <c r="K91" s="11" t="s">
        <v>646</v>
      </c>
      <c r="L91" s="11" t="s">
        <v>100</v>
      </c>
      <c r="M91" s="11"/>
    </row>
    <row r="92" customFormat="false" ht="15" hidden="false" customHeight="false" outlineLevel="0" collapsed="false">
      <c r="A92" s="11" t="s">
        <v>729</v>
      </c>
      <c r="B92" s="11" t="s">
        <v>703</v>
      </c>
      <c r="C92" s="11" t="s">
        <v>637</v>
      </c>
      <c r="D92" s="11" t="s">
        <v>599</v>
      </c>
      <c r="E92" s="11" t="s">
        <v>156</v>
      </c>
      <c r="F92" s="11" t="s">
        <v>689</v>
      </c>
      <c r="G92" s="11" t="n">
        <v>6</v>
      </c>
      <c r="H92" s="11" t="n">
        <v>0</v>
      </c>
      <c r="I92" s="11" t="n">
        <v>0</v>
      </c>
      <c r="J92" s="11" t="n">
        <v>6</v>
      </c>
      <c r="K92" s="11" t="s">
        <v>646</v>
      </c>
      <c r="L92" s="11" t="s">
        <v>158</v>
      </c>
      <c r="M92" s="11"/>
    </row>
    <row r="93" customFormat="false" ht="15" hidden="false" customHeight="false" outlineLevel="0" collapsed="false">
      <c r="A93" s="11" t="s">
        <v>735</v>
      </c>
      <c r="B93" s="11" t="s">
        <v>699</v>
      </c>
      <c r="C93" s="11" t="s">
        <v>637</v>
      </c>
      <c r="D93" s="11" t="s">
        <v>600</v>
      </c>
      <c r="E93" s="11" t="s">
        <v>52</v>
      </c>
      <c r="F93" s="11" t="s">
        <v>641</v>
      </c>
      <c r="G93" s="11" t="n">
        <v>43</v>
      </c>
      <c r="H93" s="11" t="n">
        <v>33</v>
      </c>
      <c r="I93" s="11" t="n">
        <v>0</v>
      </c>
      <c r="J93" s="11" t="n">
        <v>43</v>
      </c>
      <c r="K93" s="11" t="s">
        <v>646</v>
      </c>
      <c r="L93" s="11" t="s">
        <v>54</v>
      </c>
      <c r="M93" s="11"/>
    </row>
    <row r="94" customFormat="false" ht="15" hidden="false" customHeight="false" outlineLevel="0" collapsed="false">
      <c r="A94" s="11" t="s">
        <v>735</v>
      </c>
      <c r="B94" s="11" t="s">
        <v>700</v>
      </c>
      <c r="C94" s="11" t="s">
        <v>637</v>
      </c>
      <c r="D94" s="11" t="s">
        <v>600</v>
      </c>
      <c r="E94" s="11" t="s">
        <v>66</v>
      </c>
      <c r="F94" s="11" t="s">
        <v>736</v>
      </c>
      <c r="G94" s="11" t="n">
        <v>6</v>
      </c>
      <c r="H94" s="11" t="n">
        <v>0</v>
      </c>
      <c r="I94" s="11" t="n">
        <v>0</v>
      </c>
      <c r="J94" s="11" t="n">
        <v>6</v>
      </c>
      <c r="K94" s="11" t="s">
        <v>646</v>
      </c>
      <c r="L94" s="11" t="s">
        <v>43</v>
      </c>
      <c r="M94" s="11" t="s">
        <v>647</v>
      </c>
    </row>
    <row r="95" customFormat="false" ht="15" hidden="false" customHeight="false" outlineLevel="0" collapsed="false">
      <c r="A95" s="11" t="s">
        <v>735</v>
      </c>
      <c r="B95" s="11" t="s">
        <v>648</v>
      </c>
      <c r="C95" s="11" t="s">
        <v>637</v>
      </c>
      <c r="D95" s="11" t="s">
        <v>600</v>
      </c>
      <c r="E95" s="11" t="s">
        <v>74</v>
      </c>
      <c r="F95" s="11" t="s">
        <v>649</v>
      </c>
      <c r="G95" s="11" t="n">
        <v>2</v>
      </c>
      <c r="H95" s="11" t="n">
        <v>0</v>
      </c>
      <c r="I95" s="11" t="n">
        <v>0</v>
      </c>
      <c r="J95" s="11" t="n">
        <v>2</v>
      </c>
      <c r="K95" s="11" t="s">
        <v>646</v>
      </c>
      <c r="L95" s="11" t="s">
        <v>43</v>
      </c>
      <c r="M95" s="11" t="s">
        <v>647</v>
      </c>
    </row>
    <row r="96" customFormat="false" ht="15" hidden="false" customHeight="false" outlineLevel="0" collapsed="false">
      <c r="A96" s="11" t="s">
        <v>735</v>
      </c>
      <c r="B96" s="11" t="s">
        <v>650</v>
      </c>
      <c r="C96" s="11" t="s">
        <v>637</v>
      </c>
      <c r="D96" s="11" t="s">
        <v>600</v>
      </c>
      <c r="E96" s="11" t="s">
        <v>45</v>
      </c>
      <c r="F96" s="11" t="s">
        <v>651</v>
      </c>
      <c r="G96" s="11" t="n">
        <v>40</v>
      </c>
      <c r="H96" s="11" t="n">
        <v>40</v>
      </c>
      <c r="I96" s="11" t="n">
        <v>0</v>
      </c>
      <c r="J96" s="11" t="n">
        <v>40</v>
      </c>
      <c r="K96" s="11" t="s">
        <v>639</v>
      </c>
      <c r="L96" s="11"/>
      <c r="M96" s="11"/>
    </row>
    <row r="97" customFormat="false" ht="15" hidden="false" customHeight="false" outlineLevel="0" collapsed="false">
      <c r="A97" s="11" t="s">
        <v>735</v>
      </c>
      <c r="B97" s="11" t="s">
        <v>652</v>
      </c>
      <c r="C97" s="11" t="s">
        <v>637</v>
      </c>
      <c r="D97" s="11" t="s">
        <v>600</v>
      </c>
      <c r="E97" s="11" t="s">
        <v>122</v>
      </c>
      <c r="F97" s="11" t="s">
        <v>123</v>
      </c>
      <c r="G97" s="11" t="n">
        <v>50</v>
      </c>
      <c r="H97" s="11" t="n">
        <v>0</v>
      </c>
      <c r="I97" s="11" t="n">
        <v>0</v>
      </c>
      <c r="J97" s="11" t="n">
        <v>50</v>
      </c>
      <c r="K97" s="11" t="s">
        <v>646</v>
      </c>
      <c r="L97" s="11" t="s">
        <v>124</v>
      </c>
      <c r="M97" s="11" t="s">
        <v>647</v>
      </c>
    </row>
    <row r="98" customFormat="false" ht="15" hidden="false" customHeight="false" outlineLevel="0" collapsed="false">
      <c r="A98" s="11" t="s">
        <v>735</v>
      </c>
      <c r="B98" s="11" t="s">
        <v>679</v>
      </c>
      <c r="C98" s="11" t="s">
        <v>637</v>
      </c>
      <c r="D98" s="11" t="s">
        <v>600</v>
      </c>
      <c r="E98" s="11" t="s">
        <v>60</v>
      </c>
      <c r="F98" s="11" t="s">
        <v>656</v>
      </c>
      <c r="G98" s="11" t="n">
        <v>3</v>
      </c>
      <c r="H98" s="11" t="n">
        <v>0</v>
      </c>
      <c r="I98" s="11" t="n">
        <v>0</v>
      </c>
      <c r="J98" s="11" t="n">
        <v>3</v>
      </c>
      <c r="K98" s="11" t="s">
        <v>646</v>
      </c>
      <c r="L98" s="11" t="s">
        <v>50</v>
      </c>
      <c r="M98" s="11"/>
    </row>
    <row r="99" customFormat="false" ht="15" hidden="false" customHeight="false" outlineLevel="0" collapsed="false">
      <c r="A99" s="11" t="s">
        <v>735</v>
      </c>
      <c r="B99" s="11" t="s">
        <v>636</v>
      </c>
      <c r="C99" s="11" t="s">
        <v>637</v>
      </c>
      <c r="D99" s="11" t="s">
        <v>600</v>
      </c>
      <c r="E99" s="11" t="s">
        <v>151</v>
      </c>
      <c r="F99" s="11" t="s">
        <v>672</v>
      </c>
      <c r="G99" s="11" t="n">
        <v>3</v>
      </c>
      <c r="H99" s="11" t="n">
        <v>0</v>
      </c>
      <c r="I99" s="11" t="n">
        <v>0</v>
      </c>
      <c r="J99" s="11" t="n">
        <v>3</v>
      </c>
      <c r="K99" s="11" t="s">
        <v>646</v>
      </c>
      <c r="L99" s="11" t="s">
        <v>50</v>
      </c>
      <c r="M99" s="11"/>
    </row>
    <row r="100" customFormat="false" ht="15" hidden="false" customHeight="false" outlineLevel="0" collapsed="false">
      <c r="A100" s="11" t="s">
        <v>735</v>
      </c>
      <c r="B100" s="11" t="s">
        <v>737</v>
      </c>
      <c r="C100" s="11" t="s">
        <v>637</v>
      </c>
      <c r="D100" s="11" t="s">
        <v>600</v>
      </c>
      <c r="E100" s="11" t="s">
        <v>48</v>
      </c>
      <c r="F100" s="11" t="s">
        <v>658</v>
      </c>
      <c r="G100" s="11" t="n">
        <v>7</v>
      </c>
      <c r="H100" s="11" t="n">
        <v>0</v>
      </c>
      <c r="I100" s="11" t="n">
        <v>0</v>
      </c>
      <c r="J100" s="11" t="n">
        <v>7</v>
      </c>
      <c r="K100" s="11" t="s">
        <v>646</v>
      </c>
      <c r="L100" s="11" t="s">
        <v>50</v>
      </c>
      <c r="M100" s="11"/>
    </row>
    <row r="101" customFormat="false" ht="15" hidden="false" customHeight="false" outlineLevel="0" collapsed="false">
      <c r="A101" s="11" t="s">
        <v>735</v>
      </c>
      <c r="B101" s="11" t="s">
        <v>666</v>
      </c>
      <c r="C101" s="11" t="s">
        <v>637</v>
      </c>
      <c r="D101" s="11" t="s">
        <v>600</v>
      </c>
      <c r="E101" s="11" t="s">
        <v>63</v>
      </c>
      <c r="F101" s="11" t="s">
        <v>674</v>
      </c>
      <c r="G101" s="11" t="n">
        <v>4</v>
      </c>
      <c r="H101" s="11" t="n">
        <v>0</v>
      </c>
      <c r="I101" s="11" t="n">
        <v>0</v>
      </c>
      <c r="J101" s="11" t="n">
        <v>4</v>
      </c>
      <c r="K101" s="11" t="s">
        <v>646</v>
      </c>
      <c r="L101" s="11" t="s">
        <v>50</v>
      </c>
      <c r="M101" s="11"/>
    </row>
    <row r="102" customFormat="false" ht="15" hidden="false" customHeight="false" outlineLevel="0" collapsed="false">
      <c r="A102" s="11" t="s">
        <v>735</v>
      </c>
      <c r="B102" s="11" t="s">
        <v>702</v>
      </c>
      <c r="C102" s="11" t="s">
        <v>637</v>
      </c>
      <c r="D102" s="11" t="s">
        <v>600</v>
      </c>
      <c r="E102" s="11" t="s">
        <v>56</v>
      </c>
      <c r="F102" s="11" t="s">
        <v>676</v>
      </c>
      <c r="G102" s="11" t="n">
        <v>10</v>
      </c>
      <c r="H102" s="11" t="n">
        <v>0</v>
      </c>
      <c r="I102" s="11" t="n">
        <v>0</v>
      </c>
      <c r="J102" s="11" t="n">
        <v>10</v>
      </c>
      <c r="K102" s="11" t="s">
        <v>646</v>
      </c>
      <c r="L102" s="11" t="s">
        <v>58</v>
      </c>
      <c r="M102" s="11"/>
    </row>
    <row r="103" customFormat="false" ht="15" hidden="false" customHeight="false" outlineLevel="0" collapsed="false">
      <c r="A103" s="11" t="s">
        <v>735</v>
      </c>
      <c r="B103" s="11" t="s">
        <v>728</v>
      </c>
      <c r="C103" s="11" t="s">
        <v>637</v>
      </c>
      <c r="D103" s="11" t="s">
        <v>600</v>
      </c>
      <c r="E103" s="11" t="s">
        <v>113</v>
      </c>
      <c r="F103" s="11" t="s">
        <v>678</v>
      </c>
      <c r="G103" s="11" t="n">
        <v>5</v>
      </c>
      <c r="H103" s="11" t="n">
        <v>0</v>
      </c>
      <c r="I103" s="11" t="n">
        <v>0</v>
      </c>
      <c r="J103" s="11" t="n">
        <v>5</v>
      </c>
      <c r="K103" s="11" t="s">
        <v>646</v>
      </c>
      <c r="L103" s="11" t="s">
        <v>100</v>
      </c>
      <c r="M103" s="11"/>
    </row>
    <row r="104" customFormat="false" ht="15" hidden="false" customHeight="false" outlineLevel="0" collapsed="false">
      <c r="A104" s="11" t="s">
        <v>735</v>
      </c>
      <c r="B104" s="11" t="s">
        <v>669</v>
      </c>
      <c r="C104" s="11" t="s">
        <v>637</v>
      </c>
      <c r="D104" s="11" t="s">
        <v>600</v>
      </c>
      <c r="E104" s="11" t="s">
        <v>142</v>
      </c>
      <c r="F104" s="11" t="s">
        <v>713</v>
      </c>
      <c r="G104" s="11" t="n">
        <v>20</v>
      </c>
      <c r="H104" s="11" t="n">
        <v>0</v>
      </c>
      <c r="I104" s="11" t="n">
        <v>0</v>
      </c>
      <c r="J104" s="11" t="n">
        <v>20</v>
      </c>
      <c r="K104" s="11" t="s">
        <v>646</v>
      </c>
      <c r="L104" s="11" t="s">
        <v>144</v>
      </c>
      <c r="M104" s="11"/>
    </row>
    <row r="105" customFormat="false" ht="15" hidden="false" customHeight="false" outlineLevel="0" collapsed="false">
      <c r="A105" s="11" t="s">
        <v>735</v>
      </c>
      <c r="B105" s="11" t="s">
        <v>738</v>
      </c>
      <c r="C105" s="11" t="s">
        <v>637</v>
      </c>
      <c r="D105" s="11" t="s">
        <v>600</v>
      </c>
      <c r="E105" s="11" t="s">
        <v>682</v>
      </c>
      <c r="F105" s="11" t="s">
        <v>683</v>
      </c>
      <c r="G105" s="11" t="n">
        <v>5</v>
      </c>
      <c r="H105" s="11" t="n">
        <v>5</v>
      </c>
      <c r="I105" s="11" t="n">
        <v>0</v>
      </c>
      <c r="J105" s="11" t="n">
        <v>5</v>
      </c>
      <c r="K105" s="11" t="s">
        <v>639</v>
      </c>
      <c r="L105" s="11"/>
      <c r="M105" s="11"/>
    </row>
    <row r="106" customFormat="false" ht="15" hidden="false" customHeight="false" outlineLevel="0" collapsed="false">
      <c r="A106" s="11" t="s">
        <v>735</v>
      </c>
      <c r="B106" s="11" t="s">
        <v>708</v>
      </c>
      <c r="C106" s="11" t="s">
        <v>637</v>
      </c>
      <c r="D106" s="11" t="s">
        <v>600</v>
      </c>
      <c r="E106" s="11" t="s">
        <v>98</v>
      </c>
      <c r="F106" s="11" t="s">
        <v>686</v>
      </c>
      <c r="G106" s="11" t="n">
        <v>18</v>
      </c>
      <c r="H106" s="11" t="n">
        <v>0</v>
      </c>
      <c r="I106" s="11" t="n">
        <v>0</v>
      </c>
      <c r="J106" s="11" t="n">
        <v>18</v>
      </c>
      <c r="K106" s="11" t="s">
        <v>646</v>
      </c>
      <c r="L106" s="11" t="s">
        <v>100</v>
      </c>
      <c r="M106" s="11"/>
    </row>
    <row r="107" customFormat="false" ht="15" hidden="false" customHeight="false" outlineLevel="0" collapsed="false">
      <c r="A107" s="11" t="s">
        <v>735</v>
      </c>
      <c r="B107" s="11" t="s">
        <v>733</v>
      </c>
      <c r="C107" s="11" t="s">
        <v>637</v>
      </c>
      <c r="D107" s="11" t="s">
        <v>600</v>
      </c>
      <c r="E107" s="11" t="s">
        <v>76</v>
      </c>
      <c r="F107" s="11" t="s">
        <v>739</v>
      </c>
      <c r="G107" s="11" t="n">
        <v>25</v>
      </c>
      <c r="H107" s="11" t="n">
        <v>0</v>
      </c>
      <c r="I107" s="11" t="n">
        <v>0</v>
      </c>
      <c r="J107" s="11" t="n">
        <v>25</v>
      </c>
      <c r="K107" s="11" t="s">
        <v>646</v>
      </c>
      <c r="L107" s="11" t="s">
        <v>78</v>
      </c>
      <c r="M107" s="11" t="s">
        <v>647</v>
      </c>
    </row>
    <row r="108" customFormat="false" ht="15" hidden="false" customHeight="false" outlineLevel="0" collapsed="false">
      <c r="A108" s="11" t="s">
        <v>740</v>
      </c>
      <c r="B108" s="11" t="s">
        <v>741</v>
      </c>
      <c r="C108" s="11" t="s">
        <v>637</v>
      </c>
      <c r="D108" s="11" t="s">
        <v>601</v>
      </c>
      <c r="E108" s="11" t="s">
        <v>52</v>
      </c>
      <c r="F108" s="11" t="s">
        <v>641</v>
      </c>
      <c r="G108" s="11" t="n">
        <v>29</v>
      </c>
      <c r="H108" s="11" t="n">
        <v>29</v>
      </c>
      <c r="I108" s="11" t="n">
        <v>0</v>
      </c>
      <c r="J108" s="11" t="n">
        <v>29</v>
      </c>
      <c r="K108" s="11" t="s">
        <v>639</v>
      </c>
      <c r="L108" s="11"/>
      <c r="M108" s="11"/>
    </row>
    <row r="109" customFormat="false" ht="15" hidden="false" customHeight="false" outlineLevel="0" collapsed="false">
      <c r="A109" s="11" t="s">
        <v>740</v>
      </c>
      <c r="B109" s="11" t="s">
        <v>742</v>
      </c>
      <c r="C109" s="11" t="s">
        <v>637</v>
      </c>
      <c r="D109" s="11" t="s">
        <v>601</v>
      </c>
      <c r="E109" s="11" t="s">
        <v>66</v>
      </c>
      <c r="F109" s="11" t="s">
        <v>736</v>
      </c>
      <c r="G109" s="11" t="n">
        <v>6</v>
      </c>
      <c r="H109" s="11" t="n">
        <v>0</v>
      </c>
      <c r="I109" s="11" t="n">
        <v>0</v>
      </c>
      <c r="J109" s="11" t="n">
        <v>6</v>
      </c>
      <c r="K109" s="11" t="s">
        <v>646</v>
      </c>
      <c r="L109" s="11" t="s">
        <v>43</v>
      </c>
      <c r="M109" s="11" t="s">
        <v>647</v>
      </c>
    </row>
    <row r="110" customFormat="false" ht="15" hidden="false" customHeight="false" outlineLevel="0" collapsed="false">
      <c r="A110" s="11" t="s">
        <v>740</v>
      </c>
      <c r="B110" s="11" t="s">
        <v>650</v>
      </c>
      <c r="C110" s="11" t="s">
        <v>637</v>
      </c>
      <c r="D110" s="11" t="s">
        <v>601</v>
      </c>
      <c r="E110" s="11" t="s">
        <v>74</v>
      </c>
      <c r="F110" s="11" t="s">
        <v>649</v>
      </c>
      <c r="G110" s="11" t="n">
        <v>4</v>
      </c>
      <c r="H110" s="11" t="n">
        <v>0</v>
      </c>
      <c r="I110" s="11" t="n">
        <v>0</v>
      </c>
      <c r="J110" s="11" t="n">
        <v>4</v>
      </c>
      <c r="K110" s="11" t="s">
        <v>646</v>
      </c>
      <c r="L110" s="11" t="s">
        <v>43</v>
      </c>
      <c r="M110" s="11" t="s">
        <v>647</v>
      </c>
    </row>
    <row r="111" customFormat="false" ht="15" hidden="false" customHeight="false" outlineLevel="0" collapsed="false">
      <c r="A111" s="11" t="s">
        <v>740</v>
      </c>
      <c r="B111" s="11" t="s">
        <v>644</v>
      </c>
      <c r="C111" s="11" t="s">
        <v>637</v>
      </c>
      <c r="D111" s="11" t="s">
        <v>601</v>
      </c>
      <c r="E111" s="11" t="s">
        <v>45</v>
      </c>
      <c r="F111" s="11" t="s">
        <v>651</v>
      </c>
      <c r="G111" s="11" t="n">
        <v>23</v>
      </c>
      <c r="H111" s="11" t="n">
        <v>23</v>
      </c>
      <c r="I111" s="11" t="n">
        <v>0</v>
      </c>
      <c r="J111" s="11" t="n">
        <v>23</v>
      </c>
      <c r="K111" s="11" t="s">
        <v>639</v>
      </c>
      <c r="L111" s="11"/>
      <c r="M111" s="11"/>
    </row>
    <row r="112" customFormat="false" ht="15" hidden="false" customHeight="false" outlineLevel="0" collapsed="false">
      <c r="A112" s="11" t="s">
        <v>740</v>
      </c>
      <c r="B112" s="11" t="s">
        <v>654</v>
      </c>
      <c r="C112" s="11" t="s">
        <v>637</v>
      </c>
      <c r="D112" s="11" t="s">
        <v>601</v>
      </c>
      <c r="E112" s="11" t="s">
        <v>122</v>
      </c>
      <c r="F112" s="11" t="s">
        <v>123</v>
      </c>
      <c r="G112" s="11" t="n">
        <v>30</v>
      </c>
      <c r="H112" s="11" t="n">
        <v>0</v>
      </c>
      <c r="I112" s="11" t="n">
        <v>0</v>
      </c>
      <c r="J112" s="11" t="n">
        <v>30</v>
      </c>
      <c r="K112" s="11" t="s">
        <v>646</v>
      </c>
      <c r="L112" s="11" t="s">
        <v>124</v>
      </c>
      <c r="M112" s="11" t="s">
        <v>647</v>
      </c>
    </row>
    <row r="113" customFormat="false" ht="15" hidden="false" customHeight="false" outlineLevel="0" collapsed="false">
      <c r="A113" s="11" t="s">
        <v>740</v>
      </c>
      <c r="B113" s="11" t="s">
        <v>743</v>
      </c>
      <c r="C113" s="11" t="s">
        <v>637</v>
      </c>
      <c r="D113" s="11" t="s">
        <v>601</v>
      </c>
      <c r="E113" s="11" t="s">
        <v>60</v>
      </c>
      <c r="F113" s="11" t="s">
        <v>656</v>
      </c>
      <c r="G113" s="11" t="n">
        <v>12</v>
      </c>
      <c r="H113" s="11" t="n">
        <v>0</v>
      </c>
      <c r="I113" s="11" t="n">
        <v>0</v>
      </c>
      <c r="J113" s="11" t="n">
        <v>12</v>
      </c>
      <c r="K113" s="11" t="s">
        <v>646</v>
      </c>
      <c r="L113" s="11" t="s">
        <v>50</v>
      </c>
      <c r="M113" s="11"/>
    </row>
    <row r="114" customFormat="false" ht="15" hidden="false" customHeight="false" outlineLevel="0" collapsed="false">
      <c r="A114" s="11" t="s">
        <v>740</v>
      </c>
      <c r="B114" s="11" t="s">
        <v>744</v>
      </c>
      <c r="C114" s="11" t="s">
        <v>637</v>
      </c>
      <c r="D114" s="11" t="s">
        <v>601</v>
      </c>
      <c r="E114" s="11" t="s">
        <v>48</v>
      </c>
      <c r="F114" s="11" t="s">
        <v>658</v>
      </c>
      <c r="G114" s="11" t="n">
        <v>5</v>
      </c>
      <c r="H114" s="11" t="n">
        <v>0</v>
      </c>
      <c r="I114" s="11" t="n">
        <v>0</v>
      </c>
      <c r="J114" s="11" t="n">
        <v>5</v>
      </c>
      <c r="K114" s="11" t="s">
        <v>646</v>
      </c>
      <c r="L114" s="11" t="s">
        <v>50</v>
      </c>
      <c r="M114" s="11"/>
    </row>
    <row r="115" customFormat="false" ht="15" hidden="false" customHeight="false" outlineLevel="0" collapsed="false">
      <c r="A115" s="11" t="s">
        <v>740</v>
      </c>
      <c r="B115" s="11" t="s">
        <v>745</v>
      </c>
      <c r="C115" s="11" t="s">
        <v>637</v>
      </c>
      <c r="D115" s="11" t="s">
        <v>601</v>
      </c>
      <c r="E115" s="11" t="s">
        <v>63</v>
      </c>
      <c r="F115" s="11" t="s">
        <v>674</v>
      </c>
      <c r="G115" s="11" t="n">
        <v>2</v>
      </c>
      <c r="H115" s="11" t="n">
        <v>0</v>
      </c>
      <c r="I115" s="11" t="n">
        <v>0</v>
      </c>
      <c r="J115" s="11" t="n">
        <v>2</v>
      </c>
      <c r="K115" s="11" t="s">
        <v>646</v>
      </c>
      <c r="L115" s="11" t="s">
        <v>50</v>
      </c>
      <c r="M115" s="11"/>
    </row>
    <row r="116" customFormat="false" ht="15" hidden="false" customHeight="false" outlineLevel="0" collapsed="false">
      <c r="A116" s="11" t="s">
        <v>740</v>
      </c>
      <c r="B116" s="11" t="s">
        <v>708</v>
      </c>
      <c r="C116" s="11" t="s">
        <v>637</v>
      </c>
      <c r="D116" s="11" t="s">
        <v>601</v>
      </c>
      <c r="E116" s="11" t="s">
        <v>113</v>
      </c>
      <c r="F116" s="11" t="s">
        <v>678</v>
      </c>
      <c r="G116" s="11" t="n">
        <v>15</v>
      </c>
      <c r="H116" s="11" t="n">
        <v>0</v>
      </c>
      <c r="I116" s="11" t="n">
        <v>0</v>
      </c>
      <c r="J116" s="11" t="n">
        <v>15</v>
      </c>
      <c r="K116" s="11" t="s">
        <v>646</v>
      </c>
      <c r="L116" s="11" t="s">
        <v>100</v>
      </c>
      <c r="M116" s="11"/>
    </row>
    <row r="117" customFormat="false" ht="15" hidden="false" customHeight="false" outlineLevel="0" collapsed="false">
      <c r="A117" s="11" t="s">
        <v>740</v>
      </c>
      <c r="B117" s="11" t="s">
        <v>746</v>
      </c>
      <c r="C117" s="11" t="s">
        <v>637</v>
      </c>
      <c r="D117" s="11" t="s">
        <v>601</v>
      </c>
      <c r="E117" s="11" t="s">
        <v>71</v>
      </c>
      <c r="F117" s="11" t="s">
        <v>680</v>
      </c>
      <c r="G117" s="11" t="n">
        <v>10</v>
      </c>
      <c r="H117" s="11" t="n">
        <v>10</v>
      </c>
      <c r="I117" s="11" t="n">
        <v>0</v>
      </c>
      <c r="J117" s="11" t="n">
        <v>10</v>
      </c>
      <c r="K117" s="11" t="s">
        <v>639</v>
      </c>
      <c r="L117" s="11"/>
      <c r="M117" s="11"/>
    </row>
    <row r="118" customFormat="false" ht="15" hidden="false" customHeight="false" outlineLevel="0" collapsed="false">
      <c r="A118" s="11" t="s">
        <v>740</v>
      </c>
      <c r="B118" s="11" t="s">
        <v>712</v>
      </c>
      <c r="C118" s="11" t="s">
        <v>637</v>
      </c>
      <c r="D118" s="11" t="s">
        <v>601</v>
      </c>
      <c r="E118" s="11" t="s">
        <v>142</v>
      </c>
      <c r="F118" s="11" t="s">
        <v>713</v>
      </c>
      <c r="G118" s="11" t="n">
        <v>15</v>
      </c>
      <c r="H118" s="11" t="n">
        <v>0</v>
      </c>
      <c r="I118" s="11" t="n">
        <v>0</v>
      </c>
      <c r="J118" s="11" t="n">
        <v>15</v>
      </c>
      <c r="K118" s="11" t="s">
        <v>646</v>
      </c>
      <c r="L118" s="11" t="s">
        <v>144</v>
      </c>
      <c r="M118" s="11"/>
    </row>
    <row r="119" customFormat="false" ht="15" hidden="false" customHeight="false" outlineLevel="0" collapsed="false">
      <c r="A119" s="11" t="s">
        <v>740</v>
      </c>
      <c r="B119" s="11" t="s">
        <v>747</v>
      </c>
      <c r="C119" s="11" t="s">
        <v>637</v>
      </c>
      <c r="D119" s="11" t="s">
        <v>601</v>
      </c>
      <c r="E119" s="11" t="s">
        <v>682</v>
      </c>
      <c r="F119" s="11" t="s">
        <v>683</v>
      </c>
      <c r="G119" s="11" t="n">
        <v>2</v>
      </c>
      <c r="H119" s="11" t="n">
        <v>2</v>
      </c>
      <c r="I119" s="11" t="n">
        <v>0</v>
      </c>
      <c r="J119" s="11" t="n">
        <v>2</v>
      </c>
      <c r="K119" s="11" t="s">
        <v>639</v>
      </c>
      <c r="L119" s="11"/>
      <c r="M119" s="11"/>
    </row>
    <row r="120" customFormat="false" ht="15" hidden="false" customHeight="false" outlineLevel="0" collapsed="false">
      <c r="A120" s="11" t="s">
        <v>748</v>
      </c>
      <c r="B120" s="11" t="s">
        <v>655</v>
      </c>
      <c r="C120" s="11" t="s">
        <v>637</v>
      </c>
      <c r="D120" s="11" t="s">
        <v>602</v>
      </c>
      <c r="E120" s="11" t="s">
        <v>52</v>
      </c>
      <c r="F120" s="11" t="s">
        <v>641</v>
      </c>
      <c r="G120" s="11" t="n">
        <v>80</v>
      </c>
      <c r="H120" s="11" t="n">
        <v>0</v>
      </c>
      <c r="I120" s="11" t="n">
        <v>0</v>
      </c>
      <c r="J120" s="11" t="n">
        <v>80</v>
      </c>
      <c r="K120" s="11" t="s">
        <v>646</v>
      </c>
      <c r="L120" s="11" t="s">
        <v>54</v>
      </c>
      <c r="M120" s="11"/>
    </row>
    <row r="121" customFormat="false" ht="15" hidden="false" customHeight="false" outlineLevel="0" collapsed="false">
      <c r="A121" s="11" t="s">
        <v>748</v>
      </c>
      <c r="B121" s="11" t="s">
        <v>700</v>
      </c>
      <c r="C121" s="11" t="s">
        <v>637</v>
      </c>
      <c r="D121" s="11" t="s">
        <v>602</v>
      </c>
      <c r="E121" s="11" t="s">
        <v>66</v>
      </c>
      <c r="F121" s="11" t="s">
        <v>736</v>
      </c>
      <c r="G121" s="11" t="n">
        <v>2</v>
      </c>
      <c r="H121" s="11" t="n">
        <v>0</v>
      </c>
      <c r="I121" s="11" t="n">
        <v>0</v>
      </c>
      <c r="J121" s="11" t="n">
        <v>2</v>
      </c>
      <c r="K121" s="11" t="s">
        <v>646</v>
      </c>
      <c r="L121" s="11" t="s">
        <v>43</v>
      </c>
      <c r="M121" s="11" t="s">
        <v>647</v>
      </c>
    </row>
    <row r="122" customFormat="false" ht="15" hidden="false" customHeight="false" outlineLevel="0" collapsed="false">
      <c r="A122" s="11" t="s">
        <v>748</v>
      </c>
      <c r="B122" s="11" t="s">
        <v>648</v>
      </c>
      <c r="C122" s="11" t="s">
        <v>637</v>
      </c>
      <c r="D122" s="11" t="s">
        <v>602</v>
      </c>
      <c r="E122" s="11" t="s">
        <v>74</v>
      </c>
      <c r="F122" s="11" t="s">
        <v>649</v>
      </c>
      <c r="G122" s="11" t="n">
        <v>2</v>
      </c>
      <c r="H122" s="11" t="n">
        <v>0</v>
      </c>
      <c r="I122" s="11" t="n">
        <v>0</v>
      </c>
      <c r="J122" s="11" t="n">
        <v>2</v>
      </c>
      <c r="K122" s="11" t="s">
        <v>646</v>
      </c>
      <c r="L122" s="11" t="s">
        <v>43</v>
      </c>
      <c r="M122" s="11" t="s">
        <v>647</v>
      </c>
    </row>
    <row r="123" customFormat="false" ht="15" hidden="false" customHeight="false" outlineLevel="0" collapsed="false">
      <c r="A123" s="11" t="s">
        <v>748</v>
      </c>
      <c r="B123" s="11" t="s">
        <v>650</v>
      </c>
      <c r="C123" s="11" t="s">
        <v>637</v>
      </c>
      <c r="D123" s="11" t="s">
        <v>602</v>
      </c>
      <c r="E123" s="11" t="s">
        <v>45</v>
      </c>
      <c r="F123" s="11" t="s">
        <v>651</v>
      </c>
      <c r="G123" s="11" t="n">
        <v>14</v>
      </c>
      <c r="H123" s="11" t="n">
        <v>14</v>
      </c>
      <c r="I123" s="11" t="n">
        <v>0</v>
      </c>
      <c r="J123" s="11" t="n">
        <v>14</v>
      </c>
      <c r="K123" s="11" t="s">
        <v>639</v>
      </c>
      <c r="L123" s="11"/>
      <c r="M123" s="11"/>
    </row>
    <row r="124" customFormat="false" ht="15" hidden="false" customHeight="false" outlineLevel="0" collapsed="false">
      <c r="A124" s="11" t="s">
        <v>748</v>
      </c>
      <c r="B124" s="11" t="s">
        <v>749</v>
      </c>
      <c r="C124" s="11" t="s">
        <v>637</v>
      </c>
      <c r="D124" s="11" t="s">
        <v>602</v>
      </c>
      <c r="E124" s="11" t="s">
        <v>116</v>
      </c>
      <c r="F124" s="11" t="s">
        <v>750</v>
      </c>
      <c r="G124" s="11" t="n">
        <v>30</v>
      </c>
      <c r="H124" s="11" t="n">
        <v>5</v>
      </c>
      <c r="I124" s="11" t="n">
        <v>25</v>
      </c>
      <c r="J124" s="11" t="n">
        <v>5</v>
      </c>
      <c r="K124" s="11" t="s">
        <v>639</v>
      </c>
      <c r="L124" s="11"/>
      <c r="M124" s="11"/>
    </row>
    <row r="125" customFormat="false" ht="15" hidden="false" customHeight="false" outlineLevel="0" collapsed="false">
      <c r="A125" s="11" t="s">
        <v>748</v>
      </c>
      <c r="B125" s="11" t="s">
        <v>712</v>
      </c>
      <c r="C125" s="11" t="s">
        <v>637</v>
      </c>
      <c r="D125" s="11" t="s">
        <v>602</v>
      </c>
      <c r="E125" s="11" t="s">
        <v>122</v>
      </c>
      <c r="F125" s="11" t="s">
        <v>123</v>
      </c>
      <c r="G125" s="11" t="n">
        <v>75</v>
      </c>
      <c r="H125" s="11" t="n">
        <v>0</v>
      </c>
      <c r="I125" s="11" t="n">
        <v>0</v>
      </c>
      <c r="J125" s="11" t="n">
        <v>75</v>
      </c>
      <c r="K125" s="11" t="s">
        <v>646</v>
      </c>
      <c r="L125" s="11" t="s">
        <v>124</v>
      </c>
      <c r="M125" s="11" t="s">
        <v>647</v>
      </c>
    </row>
    <row r="126" customFormat="false" ht="15" hidden="false" customHeight="false" outlineLevel="0" collapsed="false">
      <c r="A126" s="11" t="s">
        <v>748</v>
      </c>
      <c r="B126" s="11" t="s">
        <v>705</v>
      </c>
      <c r="C126" s="11" t="s">
        <v>637</v>
      </c>
      <c r="D126" s="11" t="s">
        <v>602</v>
      </c>
      <c r="E126" s="11" t="s">
        <v>60</v>
      </c>
      <c r="F126" s="11" t="s">
        <v>656</v>
      </c>
      <c r="G126" s="11" t="n">
        <v>2</v>
      </c>
      <c r="H126" s="11" t="n">
        <v>0</v>
      </c>
      <c r="I126" s="11" t="n">
        <v>0</v>
      </c>
      <c r="J126" s="11" t="n">
        <v>2</v>
      </c>
      <c r="K126" s="11" t="s">
        <v>646</v>
      </c>
      <c r="L126" s="11" t="s">
        <v>50</v>
      </c>
      <c r="M126" s="11"/>
    </row>
    <row r="127" customFormat="false" ht="15" hidden="false" customHeight="false" outlineLevel="0" collapsed="false">
      <c r="A127" s="11" t="s">
        <v>748</v>
      </c>
      <c r="B127" s="11" t="s">
        <v>723</v>
      </c>
      <c r="C127" s="11" t="s">
        <v>637</v>
      </c>
      <c r="D127" s="11" t="s">
        <v>602</v>
      </c>
      <c r="E127" s="11" t="s">
        <v>60</v>
      </c>
      <c r="F127" s="11" t="s">
        <v>656</v>
      </c>
      <c r="G127" s="11" t="n">
        <v>7</v>
      </c>
      <c r="H127" s="11" t="n">
        <v>0</v>
      </c>
      <c r="I127" s="11" t="n">
        <v>0</v>
      </c>
      <c r="J127" s="11" t="n">
        <v>7</v>
      </c>
      <c r="K127" s="11" t="s">
        <v>646</v>
      </c>
      <c r="L127" s="11" t="s">
        <v>50</v>
      </c>
      <c r="M127" s="11"/>
    </row>
    <row r="128" customFormat="false" ht="15" hidden="false" customHeight="false" outlineLevel="0" collapsed="false">
      <c r="A128" s="11" t="s">
        <v>748</v>
      </c>
      <c r="B128" s="11" t="s">
        <v>737</v>
      </c>
      <c r="C128" s="11" t="s">
        <v>637</v>
      </c>
      <c r="D128" s="11" t="s">
        <v>602</v>
      </c>
      <c r="E128" s="11" t="s">
        <v>151</v>
      </c>
      <c r="F128" s="11" t="s">
        <v>672</v>
      </c>
      <c r="G128" s="11" t="n">
        <v>7</v>
      </c>
      <c r="H128" s="11" t="n">
        <v>0</v>
      </c>
      <c r="I128" s="11" t="n">
        <v>0</v>
      </c>
      <c r="J128" s="11" t="n">
        <v>7</v>
      </c>
      <c r="K128" s="11" t="s">
        <v>646</v>
      </c>
      <c r="L128" s="11" t="s">
        <v>50</v>
      </c>
      <c r="M128" s="11"/>
    </row>
    <row r="129" customFormat="false" ht="15" hidden="false" customHeight="false" outlineLevel="0" collapsed="false">
      <c r="A129" s="11" t="s">
        <v>748</v>
      </c>
      <c r="B129" s="11" t="s">
        <v>751</v>
      </c>
      <c r="C129" s="11" t="s">
        <v>637</v>
      </c>
      <c r="D129" s="11" t="s">
        <v>602</v>
      </c>
      <c r="E129" s="11" t="s">
        <v>48</v>
      </c>
      <c r="F129" s="11" t="s">
        <v>658</v>
      </c>
      <c r="G129" s="11" t="n">
        <v>10</v>
      </c>
      <c r="H129" s="11" t="n">
        <v>0</v>
      </c>
      <c r="I129" s="11" t="n">
        <v>0</v>
      </c>
      <c r="J129" s="11" t="n">
        <v>10</v>
      </c>
      <c r="K129" s="11" t="s">
        <v>646</v>
      </c>
      <c r="L129" s="11" t="s">
        <v>50</v>
      </c>
      <c r="M129" s="11"/>
    </row>
    <row r="130" customFormat="false" ht="15" hidden="false" customHeight="false" outlineLevel="0" collapsed="false">
      <c r="A130" s="11" t="s">
        <v>748</v>
      </c>
      <c r="B130" s="11" t="s">
        <v>722</v>
      </c>
      <c r="C130" s="11" t="s">
        <v>637</v>
      </c>
      <c r="D130" s="11" t="s">
        <v>602</v>
      </c>
      <c r="E130" s="11" t="s">
        <v>153</v>
      </c>
      <c r="F130" s="11" t="s">
        <v>676</v>
      </c>
      <c r="G130" s="11" t="n">
        <v>3</v>
      </c>
      <c r="H130" s="11" t="n">
        <v>3</v>
      </c>
      <c r="I130" s="11" t="n">
        <v>0</v>
      </c>
      <c r="J130" s="11" t="n">
        <v>3</v>
      </c>
      <c r="K130" s="11" t="s">
        <v>639</v>
      </c>
      <c r="L130" s="11"/>
      <c r="M130" s="11"/>
    </row>
    <row r="131" customFormat="false" ht="15" hidden="false" customHeight="false" outlineLevel="0" collapsed="false">
      <c r="A131" s="11" t="s">
        <v>748</v>
      </c>
      <c r="B131" s="11" t="s">
        <v>698</v>
      </c>
      <c r="C131" s="11" t="s">
        <v>637</v>
      </c>
      <c r="D131" s="11" t="s">
        <v>602</v>
      </c>
      <c r="E131" s="11" t="s">
        <v>56</v>
      </c>
      <c r="F131" s="11" t="s">
        <v>676</v>
      </c>
      <c r="G131" s="11" t="n">
        <v>10</v>
      </c>
      <c r="H131" s="11" t="n">
        <v>0</v>
      </c>
      <c r="I131" s="11" t="n">
        <v>0</v>
      </c>
      <c r="J131" s="11" t="n">
        <v>10</v>
      </c>
      <c r="K131" s="11" t="s">
        <v>646</v>
      </c>
      <c r="L131" s="11" t="s">
        <v>58</v>
      </c>
      <c r="M131" s="11"/>
    </row>
    <row r="132" customFormat="false" ht="15" hidden="false" customHeight="false" outlineLevel="0" collapsed="false">
      <c r="A132" s="11" t="s">
        <v>748</v>
      </c>
      <c r="B132" s="11" t="s">
        <v>685</v>
      </c>
      <c r="C132" s="11" t="s">
        <v>637</v>
      </c>
      <c r="D132" s="11" t="s">
        <v>602</v>
      </c>
      <c r="E132" s="11" t="s">
        <v>113</v>
      </c>
      <c r="F132" s="11" t="s">
        <v>678</v>
      </c>
      <c r="G132" s="11" t="n">
        <v>30</v>
      </c>
      <c r="H132" s="11" t="n">
        <v>0</v>
      </c>
      <c r="I132" s="11" t="n">
        <v>0</v>
      </c>
      <c r="J132" s="11" t="n">
        <v>30</v>
      </c>
      <c r="K132" s="11" t="s">
        <v>646</v>
      </c>
      <c r="L132" s="11" t="s">
        <v>100</v>
      </c>
      <c r="M132" s="11"/>
    </row>
    <row r="133" customFormat="false" ht="15" hidden="false" customHeight="false" outlineLevel="0" collapsed="false">
      <c r="A133" s="11" t="s">
        <v>748</v>
      </c>
      <c r="B133" s="11" t="s">
        <v>693</v>
      </c>
      <c r="C133" s="11" t="s">
        <v>637</v>
      </c>
      <c r="D133" s="11" t="s">
        <v>602</v>
      </c>
      <c r="E133" s="11" t="s">
        <v>71</v>
      </c>
      <c r="F133" s="11" t="s">
        <v>680</v>
      </c>
      <c r="G133" s="11" t="n">
        <v>28</v>
      </c>
      <c r="H133" s="11" t="n">
        <v>28</v>
      </c>
      <c r="I133" s="11" t="n">
        <v>0</v>
      </c>
      <c r="J133" s="11" t="n">
        <v>28</v>
      </c>
      <c r="K133" s="11" t="s">
        <v>639</v>
      </c>
      <c r="L133" s="11"/>
      <c r="M133" s="11"/>
    </row>
    <row r="134" customFormat="false" ht="15" hidden="false" customHeight="false" outlineLevel="0" collapsed="false">
      <c r="A134" s="11" t="s">
        <v>748</v>
      </c>
      <c r="B134" s="11" t="s">
        <v>752</v>
      </c>
      <c r="C134" s="11" t="s">
        <v>637</v>
      </c>
      <c r="D134" s="11" t="s">
        <v>602</v>
      </c>
      <c r="E134" s="11" t="s">
        <v>142</v>
      </c>
      <c r="F134" s="11" t="s">
        <v>713</v>
      </c>
      <c r="G134" s="11" t="n">
        <v>103</v>
      </c>
      <c r="H134" s="11" t="n">
        <v>0</v>
      </c>
      <c r="I134" s="11" t="n">
        <v>0</v>
      </c>
      <c r="J134" s="11" t="n">
        <v>103</v>
      </c>
      <c r="K134" s="11" t="s">
        <v>646</v>
      </c>
      <c r="L134" s="11" t="s">
        <v>144</v>
      </c>
      <c r="M134" s="11"/>
    </row>
    <row r="135" customFormat="false" ht="15" hidden="false" customHeight="false" outlineLevel="0" collapsed="false">
      <c r="A135" s="11" t="s">
        <v>748</v>
      </c>
      <c r="B135" s="11" t="s">
        <v>753</v>
      </c>
      <c r="C135" s="11" t="s">
        <v>637</v>
      </c>
      <c r="D135" s="11" t="s">
        <v>602</v>
      </c>
      <c r="E135" s="11" t="s">
        <v>682</v>
      </c>
      <c r="F135" s="11" t="s">
        <v>683</v>
      </c>
      <c r="G135" s="11" t="n">
        <v>15</v>
      </c>
      <c r="H135" s="11" t="n">
        <v>1</v>
      </c>
      <c r="I135" s="11" t="n">
        <v>0</v>
      </c>
      <c r="J135" s="11" t="n">
        <v>15</v>
      </c>
      <c r="K135" s="11" t="s">
        <v>646</v>
      </c>
      <c r="L135" s="11" t="s">
        <v>684</v>
      </c>
      <c r="M135" s="11"/>
    </row>
    <row r="136" customFormat="false" ht="15" hidden="false" customHeight="false" outlineLevel="0" collapsed="false">
      <c r="A136" s="11" t="s">
        <v>748</v>
      </c>
      <c r="B136" s="11" t="s">
        <v>728</v>
      </c>
      <c r="C136" s="11" t="s">
        <v>637</v>
      </c>
      <c r="D136" s="11" t="s">
        <v>602</v>
      </c>
      <c r="E136" s="11" t="s">
        <v>98</v>
      </c>
      <c r="F136" s="11" t="s">
        <v>686</v>
      </c>
      <c r="G136" s="11" t="n">
        <v>10</v>
      </c>
      <c r="H136" s="11" t="n">
        <v>0</v>
      </c>
      <c r="I136" s="11" t="n">
        <v>0</v>
      </c>
      <c r="J136" s="11" t="n">
        <v>10</v>
      </c>
      <c r="K136" s="11" t="s">
        <v>646</v>
      </c>
      <c r="L136" s="11" t="s">
        <v>100</v>
      </c>
      <c r="M136" s="11"/>
    </row>
    <row r="137" customFormat="false" ht="15" hidden="false" customHeight="false" outlineLevel="0" collapsed="false">
      <c r="A137" s="11" t="s">
        <v>754</v>
      </c>
      <c r="B137" s="11" t="s">
        <v>704</v>
      </c>
      <c r="C137" s="11" t="s">
        <v>637</v>
      </c>
      <c r="D137" s="11" t="s">
        <v>603</v>
      </c>
      <c r="E137" s="11" t="s">
        <v>52</v>
      </c>
      <c r="F137" s="11" t="s">
        <v>641</v>
      </c>
      <c r="G137" s="11" t="n">
        <v>144</v>
      </c>
      <c r="H137" s="11" t="n">
        <v>0</v>
      </c>
      <c r="I137" s="11" t="n">
        <v>0</v>
      </c>
      <c r="J137" s="11" t="n">
        <v>144</v>
      </c>
      <c r="K137" s="11" t="s">
        <v>646</v>
      </c>
      <c r="L137" s="11" t="s">
        <v>54</v>
      </c>
      <c r="M137" s="11"/>
    </row>
    <row r="138" customFormat="false" ht="15" hidden="false" customHeight="false" outlineLevel="0" collapsed="false">
      <c r="A138" s="11" t="s">
        <v>754</v>
      </c>
      <c r="B138" s="11" t="s">
        <v>692</v>
      </c>
      <c r="C138" s="11" t="s">
        <v>637</v>
      </c>
      <c r="D138" s="11" t="s">
        <v>603</v>
      </c>
      <c r="E138" s="11" t="s">
        <v>66</v>
      </c>
      <c r="F138" s="11" t="s">
        <v>736</v>
      </c>
      <c r="G138" s="11" t="n">
        <v>13</v>
      </c>
      <c r="H138" s="11" t="n">
        <v>0</v>
      </c>
      <c r="I138" s="11" t="n">
        <v>0</v>
      </c>
      <c r="J138" s="11" t="n">
        <v>13</v>
      </c>
      <c r="K138" s="11" t="s">
        <v>646</v>
      </c>
      <c r="L138" s="11" t="s">
        <v>43</v>
      </c>
      <c r="M138" s="11" t="s">
        <v>647</v>
      </c>
    </row>
    <row r="139" customFormat="false" ht="15" hidden="false" customHeight="false" outlineLevel="0" collapsed="false">
      <c r="A139" s="11" t="s">
        <v>754</v>
      </c>
      <c r="B139" s="11" t="s">
        <v>691</v>
      </c>
      <c r="C139" s="11" t="s">
        <v>637</v>
      </c>
      <c r="D139" s="11" t="s">
        <v>603</v>
      </c>
      <c r="E139" s="11" t="s">
        <v>45</v>
      </c>
      <c r="F139" s="11" t="s">
        <v>651</v>
      </c>
      <c r="G139" s="11" t="n">
        <v>13</v>
      </c>
      <c r="H139" s="11" t="n">
        <v>13</v>
      </c>
      <c r="I139" s="11" t="n">
        <v>0</v>
      </c>
      <c r="J139" s="11" t="n">
        <v>13</v>
      </c>
      <c r="K139" s="11" t="s">
        <v>639</v>
      </c>
      <c r="L139" s="11"/>
      <c r="M139" s="11"/>
    </row>
    <row r="140" customFormat="false" ht="15" hidden="false" customHeight="false" outlineLevel="0" collapsed="false">
      <c r="A140" s="11" t="s">
        <v>754</v>
      </c>
      <c r="B140" s="11" t="s">
        <v>700</v>
      </c>
      <c r="C140" s="11" t="s">
        <v>637</v>
      </c>
      <c r="D140" s="11" t="s">
        <v>603</v>
      </c>
      <c r="E140" s="11" t="s">
        <v>48</v>
      </c>
      <c r="F140" s="11" t="s">
        <v>658</v>
      </c>
      <c r="G140" s="11" t="n">
        <v>2</v>
      </c>
      <c r="H140" s="11" t="n">
        <v>0</v>
      </c>
      <c r="I140" s="11" t="n">
        <v>0</v>
      </c>
      <c r="J140" s="11" t="n">
        <v>2</v>
      </c>
      <c r="K140" s="11" t="s">
        <v>646</v>
      </c>
      <c r="L140" s="11" t="s">
        <v>50</v>
      </c>
      <c r="M140" s="11"/>
    </row>
    <row r="141" customFormat="false" ht="15" hidden="false" customHeight="false" outlineLevel="0" collapsed="false">
      <c r="A141" s="11" t="s">
        <v>754</v>
      </c>
      <c r="B141" s="11" t="s">
        <v>703</v>
      </c>
      <c r="C141" s="11" t="s">
        <v>637</v>
      </c>
      <c r="D141" s="11" t="s">
        <v>603</v>
      </c>
      <c r="E141" s="11" t="s">
        <v>71</v>
      </c>
      <c r="F141" s="11" t="s">
        <v>680</v>
      </c>
      <c r="G141" s="11" t="n">
        <v>21</v>
      </c>
      <c r="H141" s="11" t="n">
        <v>21</v>
      </c>
      <c r="I141" s="11" t="n">
        <v>0</v>
      </c>
      <c r="J141" s="11" t="n">
        <v>21</v>
      </c>
      <c r="K141" s="11" t="s">
        <v>639</v>
      </c>
      <c r="L141" s="11"/>
      <c r="M141" s="11"/>
    </row>
    <row r="142" customFormat="false" ht="15" hidden="false" customHeight="false" outlineLevel="0" collapsed="false">
      <c r="A142" s="11" t="s">
        <v>754</v>
      </c>
      <c r="B142" s="11" t="s">
        <v>755</v>
      </c>
      <c r="C142" s="11" t="s">
        <v>637</v>
      </c>
      <c r="D142" s="11" t="s">
        <v>603</v>
      </c>
      <c r="E142" s="11" t="s">
        <v>682</v>
      </c>
      <c r="F142" s="11" t="s">
        <v>683</v>
      </c>
      <c r="G142" s="11" t="n">
        <v>6</v>
      </c>
      <c r="H142" s="11" t="n">
        <v>6</v>
      </c>
      <c r="I142" s="11" t="n">
        <v>0</v>
      </c>
      <c r="J142" s="11" t="n">
        <v>6</v>
      </c>
      <c r="K142" s="11" t="s">
        <v>639</v>
      </c>
      <c r="L142" s="11"/>
      <c r="M142" s="11"/>
    </row>
    <row r="143" customFormat="false" ht="15" hidden="false" customHeight="false" outlineLevel="0" collapsed="false">
      <c r="A143" s="11" t="s">
        <v>754</v>
      </c>
      <c r="B143" s="11" t="s">
        <v>737</v>
      </c>
      <c r="C143" s="11" t="s">
        <v>637</v>
      </c>
      <c r="D143" s="11" t="s">
        <v>603</v>
      </c>
      <c r="E143" s="11" t="s">
        <v>76</v>
      </c>
      <c r="F143" s="11" t="s">
        <v>739</v>
      </c>
      <c r="G143" s="11" t="n">
        <v>20</v>
      </c>
      <c r="H143" s="11" t="n">
        <v>0</v>
      </c>
      <c r="I143" s="11" t="n">
        <v>0</v>
      </c>
      <c r="J143" s="11" t="n">
        <v>20</v>
      </c>
      <c r="K143" s="11" t="s">
        <v>646</v>
      </c>
      <c r="L143" s="11" t="s">
        <v>78</v>
      </c>
      <c r="M143" s="11" t="s">
        <v>647</v>
      </c>
    </row>
    <row r="144" customFormat="false" ht="15" hidden="false" customHeight="false" outlineLevel="0" collapsed="false">
      <c r="A144" s="11" t="s">
        <v>756</v>
      </c>
      <c r="B144" s="11" t="s">
        <v>741</v>
      </c>
      <c r="C144" s="11" t="s">
        <v>637</v>
      </c>
      <c r="D144" s="11" t="s">
        <v>604</v>
      </c>
      <c r="E144" s="11" t="s">
        <v>52</v>
      </c>
      <c r="F144" s="11" t="s">
        <v>641</v>
      </c>
      <c r="G144" s="11" t="n">
        <v>90</v>
      </c>
      <c r="H144" s="11" t="n">
        <v>0</v>
      </c>
      <c r="I144" s="11" t="n">
        <v>0</v>
      </c>
      <c r="J144" s="11" t="n">
        <v>90</v>
      </c>
      <c r="K144" s="11" t="s">
        <v>646</v>
      </c>
      <c r="L144" s="11" t="s">
        <v>54</v>
      </c>
      <c r="M144" s="11"/>
    </row>
    <row r="145" customFormat="false" ht="15" hidden="false" customHeight="false" outlineLevel="0" collapsed="false">
      <c r="A145" s="11" t="s">
        <v>756</v>
      </c>
      <c r="B145" s="11" t="s">
        <v>742</v>
      </c>
      <c r="C145" s="11" t="s">
        <v>637</v>
      </c>
      <c r="D145" s="11" t="s">
        <v>604</v>
      </c>
      <c r="E145" s="11" t="s">
        <v>66</v>
      </c>
      <c r="F145" s="11" t="s">
        <v>736</v>
      </c>
      <c r="G145" s="11" t="n">
        <v>4</v>
      </c>
      <c r="H145" s="11" t="n">
        <v>0</v>
      </c>
      <c r="I145" s="11" t="n">
        <v>0</v>
      </c>
      <c r="J145" s="11" t="n">
        <v>4</v>
      </c>
      <c r="K145" s="11" t="s">
        <v>646</v>
      </c>
      <c r="L145" s="11" t="s">
        <v>43</v>
      </c>
      <c r="M145" s="11" t="s">
        <v>647</v>
      </c>
    </row>
    <row r="146" customFormat="false" ht="15" hidden="false" customHeight="false" outlineLevel="0" collapsed="false">
      <c r="A146" s="11" t="s">
        <v>756</v>
      </c>
      <c r="B146" s="11" t="s">
        <v>650</v>
      </c>
      <c r="C146" s="11" t="s">
        <v>637</v>
      </c>
      <c r="D146" s="11" t="s">
        <v>604</v>
      </c>
      <c r="E146" s="11" t="s">
        <v>74</v>
      </c>
      <c r="F146" s="11" t="s">
        <v>649</v>
      </c>
      <c r="G146" s="11" t="n">
        <v>5</v>
      </c>
      <c r="H146" s="11" t="n">
        <v>0</v>
      </c>
      <c r="I146" s="11" t="n">
        <v>0</v>
      </c>
      <c r="J146" s="11" t="n">
        <v>5</v>
      </c>
      <c r="K146" s="11" t="s">
        <v>646</v>
      </c>
      <c r="L146" s="11" t="s">
        <v>43</v>
      </c>
      <c r="M146" s="11" t="s">
        <v>647</v>
      </c>
    </row>
    <row r="147" customFormat="false" ht="15" hidden="false" customHeight="false" outlineLevel="0" collapsed="false">
      <c r="A147" s="11" t="s">
        <v>756</v>
      </c>
      <c r="B147" s="11" t="s">
        <v>644</v>
      </c>
      <c r="C147" s="11" t="s">
        <v>637</v>
      </c>
      <c r="D147" s="11" t="s">
        <v>604</v>
      </c>
      <c r="E147" s="11" t="s">
        <v>45</v>
      </c>
      <c r="F147" s="11" t="s">
        <v>651</v>
      </c>
      <c r="G147" s="11" t="n">
        <v>5</v>
      </c>
      <c r="H147" s="11" t="n">
        <v>5</v>
      </c>
      <c r="I147" s="11" t="n">
        <v>0</v>
      </c>
      <c r="J147" s="11" t="n">
        <v>5</v>
      </c>
      <c r="K147" s="11" t="s">
        <v>639</v>
      </c>
      <c r="L147" s="11"/>
      <c r="M147" s="11"/>
    </row>
    <row r="148" customFormat="false" ht="15" hidden="false" customHeight="false" outlineLevel="0" collapsed="false">
      <c r="A148" s="11" t="s">
        <v>756</v>
      </c>
      <c r="B148" s="11" t="s">
        <v>757</v>
      </c>
      <c r="C148" s="11" t="s">
        <v>637</v>
      </c>
      <c r="D148" s="11" t="s">
        <v>604</v>
      </c>
      <c r="E148" s="11" t="s">
        <v>56</v>
      </c>
      <c r="F148" s="11" t="s">
        <v>676</v>
      </c>
      <c r="G148" s="11" t="n">
        <v>15</v>
      </c>
      <c r="H148" s="11" t="n">
        <v>0</v>
      </c>
      <c r="I148" s="11" t="n">
        <v>0</v>
      </c>
      <c r="J148" s="11" t="n">
        <v>15</v>
      </c>
      <c r="K148" s="11" t="s">
        <v>646</v>
      </c>
      <c r="L148" s="11" t="s">
        <v>58</v>
      </c>
      <c r="M148" s="11"/>
    </row>
    <row r="149" customFormat="false" ht="15" hidden="false" customHeight="false" outlineLevel="0" collapsed="false">
      <c r="A149" s="11" t="s">
        <v>756</v>
      </c>
      <c r="B149" s="11" t="s">
        <v>758</v>
      </c>
      <c r="C149" s="11" t="s">
        <v>637</v>
      </c>
      <c r="D149" s="11" t="s">
        <v>604</v>
      </c>
      <c r="E149" s="11" t="s">
        <v>106</v>
      </c>
      <c r="F149" s="11" t="s">
        <v>707</v>
      </c>
      <c r="G149" s="11" t="n">
        <v>1</v>
      </c>
      <c r="H149" s="11" t="n">
        <v>0</v>
      </c>
      <c r="I149" s="11" t="n">
        <v>0</v>
      </c>
      <c r="J149" s="11" t="n">
        <v>1</v>
      </c>
      <c r="K149" s="11" t="s">
        <v>646</v>
      </c>
      <c r="L149" s="11" t="s">
        <v>108</v>
      </c>
      <c r="M149" s="11"/>
    </row>
    <row r="150" customFormat="false" ht="15" hidden="false" customHeight="false" outlineLevel="0" collapsed="false">
      <c r="A150" s="11" t="s">
        <v>756</v>
      </c>
      <c r="B150" s="11" t="s">
        <v>746</v>
      </c>
      <c r="C150" s="11" t="s">
        <v>637</v>
      </c>
      <c r="D150" s="11" t="s">
        <v>604</v>
      </c>
      <c r="E150" s="11" t="s">
        <v>71</v>
      </c>
      <c r="F150" s="11" t="s">
        <v>680</v>
      </c>
      <c r="G150" s="11" t="n">
        <v>6</v>
      </c>
      <c r="H150" s="11" t="n">
        <v>6</v>
      </c>
      <c r="I150" s="11" t="n">
        <v>0</v>
      </c>
      <c r="J150" s="11" t="n">
        <v>6</v>
      </c>
      <c r="K150" s="11" t="s">
        <v>639</v>
      </c>
      <c r="L150" s="11"/>
      <c r="M150" s="11"/>
    </row>
    <row r="151" customFormat="false" ht="15" hidden="false" customHeight="false" outlineLevel="0" collapsed="false">
      <c r="A151" s="11" t="s">
        <v>756</v>
      </c>
      <c r="B151" s="11" t="s">
        <v>652</v>
      </c>
      <c r="C151" s="11" t="s">
        <v>637</v>
      </c>
      <c r="D151" s="11" t="s">
        <v>604</v>
      </c>
      <c r="E151" s="11" t="s">
        <v>142</v>
      </c>
      <c r="F151" s="11" t="s">
        <v>713</v>
      </c>
      <c r="G151" s="11" t="n">
        <v>60</v>
      </c>
      <c r="H151" s="11" t="n">
        <v>0</v>
      </c>
      <c r="I151" s="11" t="n">
        <v>0</v>
      </c>
      <c r="J151" s="11" t="n">
        <v>60</v>
      </c>
      <c r="K151" s="11" t="s">
        <v>646</v>
      </c>
      <c r="L151" s="11" t="s">
        <v>144</v>
      </c>
      <c r="M151" s="11"/>
    </row>
    <row r="152" customFormat="false" ht="15" hidden="false" customHeight="false" outlineLevel="0" collapsed="false">
      <c r="A152" s="11" t="s">
        <v>756</v>
      </c>
      <c r="B152" s="11" t="s">
        <v>704</v>
      </c>
      <c r="C152" s="11" t="s">
        <v>637</v>
      </c>
      <c r="D152" s="11" t="s">
        <v>604</v>
      </c>
      <c r="E152" s="11" t="s">
        <v>166</v>
      </c>
      <c r="F152" s="11" t="s">
        <v>759</v>
      </c>
      <c r="G152" s="11" t="n">
        <v>6</v>
      </c>
      <c r="H152" s="11" t="n">
        <v>0</v>
      </c>
      <c r="I152" s="11" t="n">
        <v>0</v>
      </c>
      <c r="J152" s="11" t="n">
        <v>6</v>
      </c>
      <c r="K152" s="11" t="s">
        <v>646</v>
      </c>
      <c r="L152" s="11" t="s">
        <v>54</v>
      </c>
      <c r="M152" s="11"/>
    </row>
    <row r="153" customFormat="false" ht="15" hidden="false" customHeight="false" outlineLevel="0" collapsed="false">
      <c r="A153" s="11" t="s">
        <v>760</v>
      </c>
      <c r="B153" s="11" t="s">
        <v>761</v>
      </c>
      <c r="C153" s="11" t="s">
        <v>637</v>
      </c>
      <c r="D153" s="11" t="s">
        <v>605</v>
      </c>
      <c r="E153" s="11" t="s">
        <v>52</v>
      </c>
      <c r="F153" s="11" t="s">
        <v>641</v>
      </c>
      <c r="G153" s="11" t="n">
        <v>135</v>
      </c>
      <c r="H153" s="11" t="n">
        <v>0</v>
      </c>
      <c r="I153" s="11" t="n">
        <v>0</v>
      </c>
      <c r="J153" s="11" t="n">
        <v>135</v>
      </c>
      <c r="K153" s="11" t="s">
        <v>646</v>
      </c>
      <c r="L153" s="11" t="s">
        <v>54</v>
      </c>
      <c r="M153" s="11"/>
    </row>
    <row r="154" customFormat="false" ht="15" hidden="false" customHeight="false" outlineLevel="0" collapsed="false">
      <c r="A154" s="11" t="s">
        <v>760</v>
      </c>
      <c r="B154" s="11" t="s">
        <v>700</v>
      </c>
      <c r="C154" s="11" t="s">
        <v>637</v>
      </c>
      <c r="D154" s="11" t="s">
        <v>605</v>
      </c>
      <c r="E154" s="11" t="s">
        <v>66</v>
      </c>
      <c r="F154" s="11" t="s">
        <v>736</v>
      </c>
      <c r="G154" s="11" t="n">
        <v>4</v>
      </c>
      <c r="H154" s="11" t="n">
        <v>0</v>
      </c>
      <c r="I154" s="11" t="n">
        <v>0</v>
      </c>
      <c r="J154" s="11" t="n">
        <v>4</v>
      </c>
      <c r="K154" s="11" t="s">
        <v>646</v>
      </c>
      <c r="L154" s="11" t="s">
        <v>43</v>
      </c>
      <c r="M154" s="11" t="s">
        <v>647</v>
      </c>
    </row>
    <row r="155" customFormat="false" ht="15" hidden="false" customHeight="false" outlineLevel="0" collapsed="false">
      <c r="A155" s="11" t="s">
        <v>760</v>
      </c>
      <c r="B155" s="11" t="s">
        <v>648</v>
      </c>
      <c r="C155" s="11" t="s">
        <v>637</v>
      </c>
      <c r="D155" s="11" t="s">
        <v>605</v>
      </c>
      <c r="E155" s="11" t="s">
        <v>74</v>
      </c>
      <c r="F155" s="11" t="s">
        <v>649</v>
      </c>
      <c r="G155" s="11" t="n">
        <v>2</v>
      </c>
      <c r="H155" s="11" t="n">
        <v>0</v>
      </c>
      <c r="I155" s="11" t="n">
        <v>0</v>
      </c>
      <c r="J155" s="11" t="n">
        <v>2</v>
      </c>
      <c r="K155" s="11" t="s">
        <v>646</v>
      </c>
      <c r="L155" s="11" t="s">
        <v>43</v>
      </c>
      <c r="M155" s="11" t="s">
        <v>647</v>
      </c>
    </row>
    <row r="156" customFormat="false" ht="15" hidden="false" customHeight="false" outlineLevel="0" collapsed="false">
      <c r="A156" s="11" t="s">
        <v>760</v>
      </c>
      <c r="B156" s="11" t="s">
        <v>742</v>
      </c>
      <c r="C156" s="11" t="s">
        <v>637</v>
      </c>
      <c r="D156" s="11" t="s">
        <v>605</v>
      </c>
      <c r="E156" s="11" t="s">
        <v>45</v>
      </c>
      <c r="F156" s="11" t="s">
        <v>651</v>
      </c>
      <c r="G156" s="11" t="n">
        <v>15</v>
      </c>
      <c r="H156" s="11" t="n">
        <v>15</v>
      </c>
      <c r="I156" s="11" t="n">
        <v>0</v>
      </c>
      <c r="J156" s="11" t="n">
        <v>15</v>
      </c>
      <c r="K156" s="11" t="s">
        <v>639</v>
      </c>
      <c r="L156" s="11"/>
      <c r="M156" s="11"/>
    </row>
    <row r="157" customFormat="false" ht="15" hidden="false" customHeight="false" outlineLevel="0" collapsed="false">
      <c r="A157" s="11" t="s">
        <v>760</v>
      </c>
      <c r="B157" s="11" t="s">
        <v>654</v>
      </c>
      <c r="C157" s="11" t="s">
        <v>637</v>
      </c>
      <c r="D157" s="11" t="s">
        <v>605</v>
      </c>
      <c r="E157" s="11" t="s">
        <v>126</v>
      </c>
      <c r="F157" s="11" t="s">
        <v>127</v>
      </c>
      <c r="G157" s="11" t="n">
        <v>70</v>
      </c>
      <c r="H157" s="11" t="n">
        <v>0</v>
      </c>
      <c r="I157" s="11" t="n">
        <v>50</v>
      </c>
      <c r="J157" s="11" t="n">
        <v>20</v>
      </c>
      <c r="K157" s="11" t="s">
        <v>646</v>
      </c>
      <c r="L157" s="11" t="s">
        <v>128</v>
      </c>
      <c r="M157" s="11" t="s">
        <v>647</v>
      </c>
    </row>
    <row r="158" customFormat="false" ht="15" hidden="false" customHeight="false" outlineLevel="0" collapsed="false">
      <c r="A158" s="11" t="s">
        <v>760</v>
      </c>
      <c r="B158" s="11" t="s">
        <v>657</v>
      </c>
      <c r="C158" s="11" t="s">
        <v>637</v>
      </c>
      <c r="D158" s="11" t="s">
        <v>605</v>
      </c>
      <c r="E158" s="11" t="s">
        <v>151</v>
      </c>
      <c r="F158" s="11" t="s">
        <v>672</v>
      </c>
      <c r="G158" s="11" t="n">
        <v>3</v>
      </c>
      <c r="H158" s="11" t="n">
        <v>0</v>
      </c>
      <c r="I158" s="11" t="n">
        <v>0</v>
      </c>
      <c r="J158" s="11" t="n">
        <v>3</v>
      </c>
      <c r="K158" s="11" t="s">
        <v>646</v>
      </c>
      <c r="L158" s="11" t="s">
        <v>50</v>
      </c>
      <c r="M158" s="11"/>
    </row>
    <row r="159" customFormat="false" ht="15" hidden="false" customHeight="false" outlineLevel="0" collapsed="false">
      <c r="A159" s="11" t="s">
        <v>760</v>
      </c>
      <c r="B159" s="11" t="s">
        <v>664</v>
      </c>
      <c r="C159" s="11" t="s">
        <v>637</v>
      </c>
      <c r="D159" s="11" t="s">
        <v>605</v>
      </c>
      <c r="E159" s="11" t="s">
        <v>63</v>
      </c>
      <c r="F159" s="11" t="s">
        <v>674</v>
      </c>
      <c r="G159" s="11" t="n">
        <v>1</v>
      </c>
      <c r="H159" s="11" t="n">
        <v>0</v>
      </c>
      <c r="I159" s="11" t="n">
        <v>0</v>
      </c>
      <c r="J159" s="11" t="n">
        <v>1</v>
      </c>
      <c r="K159" s="11" t="s">
        <v>646</v>
      </c>
      <c r="L159" s="11" t="s">
        <v>50</v>
      </c>
      <c r="M159" s="11"/>
    </row>
    <row r="160" customFormat="false" ht="15" hidden="false" customHeight="false" outlineLevel="0" collapsed="false">
      <c r="A160" s="11" t="s">
        <v>760</v>
      </c>
      <c r="B160" s="11" t="s">
        <v>758</v>
      </c>
      <c r="C160" s="11" t="s">
        <v>637</v>
      </c>
      <c r="D160" s="11" t="s">
        <v>605</v>
      </c>
      <c r="E160" s="11" t="s">
        <v>56</v>
      </c>
      <c r="F160" s="11" t="s">
        <v>676</v>
      </c>
      <c r="G160" s="11" t="n">
        <v>2</v>
      </c>
      <c r="H160" s="11" t="n">
        <v>0</v>
      </c>
      <c r="I160" s="11" t="n">
        <v>0</v>
      </c>
      <c r="J160" s="11" t="n">
        <v>2</v>
      </c>
      <c r="K160" s="11" t="s">
        <v>646</v>
      </c>
      <c r="L160" s="11" t="s">
        <v>58</v>
      </c>
      <c r="M160" s="11"/>
    </row>
    <row r="161" customFormat="false" ht="15" hidden="false" customHeight="false" outlineLevel="0" collapsed="false">
      <c r="A161" s="11" t="s">
        <v>760</v>
      </c>
      <c r="B161" s="11" t="s">
        <v>642</v>
      </c>
      <c r="C161" s="11" t="s">
        <v>637</v>
      </c>
      <c r="D161" s="11" t="s">
        <v>605</v>
      </c>
      <c r="E161" s="11" t="s">
        <v>106</v>
      </c>
      <c r="F161" s="11" t="s">
        <v>707</v>
      </c>
      <c r="G161" s="11" t="n">
        <v>2</v>
      </c>
      <c r="H161" s="11" t="n">
        <v>0</v>
      </c>
      <c r="I161" s="11" t="n">
        <v>0</v>
      </c>
      <c r="J161" s="11" t="n">
        <v>2</v>
      </c>
      <c r="K161" s="11" t="s">
        <v>646</v>
      </c>
      <c r="L161" s="11" t="s">
        <v>108</v>
      </c>
      <c r="M161" s="11"/>
    </row>
    <row r="162" customFormat="false" ht="15" hidden="false" customHeight="false" outlineLevel="0" collapsed="false">
      <c r="A162" s="11" t="s">
        <v>760</v>
      </c>
      <c r="B162" s="11" t="s">
        <v>757</v>
      </c>
      <c r="C162" s="11" t="s">
        <v>637</v>
      </c>
      <c r="D162" s="11" t="s">
        <v>605</v>
      </c>
      <c r="E162" s="11" t="s">
        <v>71</v>
      </c>
      <c r="F162" s="11" t="s">
        <v>680</v>
      </c>
      <c r="G162" s="11" t="n">
        <v>58</v>
      </c>
      <c r="H162" s="11" t="n">
        <v>58</v>
      </c>
      <c r="I162" s="11" t="n">
        <v>0</v>
      </c>
      <c r="J162" s="11" t="n">
        <v>58</v>
      </c>
      <c r="K162" s="11" t="s">
        <v>639</v>
      </c>
      <c r="L162" s="11"/>
      <c r="M162" s="11"/>
    </row>
    <row r="163" customFormat="false" ht="15" hidden="false" customHeight="false" outlineLevel="0" collapsed="false">
      <c r="A163" s="11" t="s">
        <v>760</v>
      </c>
      <c r="B163" s="11" t="s">
        <v>712</v>
      </c>
      <c r="C163" s="11" t="s">
        <v>637</v>
      </c>
      <c r="D163" s="11" t="s">
        <v>605</v>
      </c>
      <c r="E163" s="11" t="s">
        <v>142</v>
      </c>
      <c r="F163" s="11" t="s">
        <v>713</v>
      </c>
      <c r="G163" s="11" t="n">
        <v>32</v>
      </c>
      <c r="H163" s="11" t="n">
        <v>0</v>
      </c>
      <c r="I163" s="11" t="n">
        <v>0</v>
      </c>
      <c r="J163" s="11" t="n">
        <v>32</v>
      </c>
      <c r="K163" s="11" t="s">
        <v>646</v>
      </c>
      <c r="L163" s="11" t="s">
        <v>144</v>
      </c>
      <c r="M163" s="11"/>
    </row>
    <row r="164" customFormat="false" ht="15" hidden="false" customHeight="false" outlineLevel="0" collapsed="false">
      <c r="A164" s="11" t="s">
        <v>760</v>
      </c>
      <c r="B164" s="11" t="s">
        <v>752</v>
      </c>
      <c r="C164" s="11" t="s">
        <v>637</v>
      </c>
      <c r="D164" s="11" t="s">
        <v>605</v>
      </c>
      <c r="E164" s="11" t="s">
        <v>682</v>
      </c>
      <c r="F164" s="11" t="s">
        <v>683</v>
      </c>
      <c r="G164" s="11" t="n">
        <v>2</v>
      </c>
      <c r="H164" s="11" t="n">
        <v>0</v>
      </c>
      <c r="I164" s="11" t="n">
        <v>0</v>
      </c>
      <c r="J164" s="11" t="n">
        <v>2</v>
      </c>
      <c r="K164" s="11" t="s">
        <v>646</v>
      </c>
      <c r="L164" s="11" t="s">
        <v>684</v>
      </c>
      <c r="M164" s="11"/>
    </row>
    <row r="165" customFormat="false" ht="15" hidden="false" customHeight="false" outlineLevel="0" collapsed="false">
      <c r="A165" s="11" t="s">
        <v>760</v>
      </c>
      <c r="B165" s="11" t="s">
        <v>652</v>
      </c>
      <c r="C165" s="11" t="s">
        <v>637</v>
      </c>
      <c r="D165" s="11" t="s">
        <v>605</v>
      </c>
      <c r="E165" s="11" t="s">
        <v>98</v>
      </c>
      <c r="F165" s="11" t="s">
        <v>686</v>
      </c>
      <c r="G165" s="11" t="n">
        <v>50</v>
      </c>
      <c r="H165" s="11" t="n">
        <v>0</v>
      </c>
      <c r="I165" s="11" t="n">
        <v>0</v>
      </c>
      <c r="J165" s="11" t="n">
        <v>50</v>
      </c>
      <c r="K165" s="11" t="s">
        <v>646</v>
      </c>
      <c r="L165" s="11" t="s">
        <v>100</v>
      </c>
      <c r="M165" s="11"/>
    </row>
    <row r="166" customFormat="false" ht="15" hidden="false" customHeight="false" outlineLevel="0" collapsed="false">
      <c r="A166" s="11" t="s">
        <v>760</v>
      </c>
      <c r="B166" s="11" t="s">
        <v>744</v>
      </c>
      <c r="C166" s="11" t="s">
        <v>637</v>
      </c>
      <c r="D166" s="11" t="s">
        <v>605</v>
      </c>
      <c r="E166" s="11" t="s">
        <v>156</v>
      </c>
      <c r="F166" s="11" t="s">
        <v>689</v>
      </c>
      <c r="G166" s="11" t="n">
        <v>3</v>
      </c>
      <c r="H166" s="11" t="n">
        <v>0</v>
      </c>
      <c r="I166" s="11" t="n">
        <v>0</v>
      </c>
      <c r="J166" s="11" t="n">
        <v>3</v>
      </c>
      <c r="K166" s="11" t="s">
        <v>646</v>
      </c>
      <c r="L166" s="11" t="s">
        <v>158</v>
      </c>
      <c r="M166" s="11"/>
    </row>
    <row r="167" customFormat="false" ht="15" hidden="false" customHeight="false" outlineLevel="0" collapsed="false">
      <c r="A167" s="11" t="s">
        <v>762</v>
      </c>
      <c r="B167" s="11" t="s">
        <v>763</v>
      </c>
      <c r="C167" s="11" t="s">
        <v>637</v>
      </c>
      <c r="D167" s="11" t="s">
        <v>606</v>
      </c>
      <c r="E167" s="11" t="s">
        <v>52</v>
      </c>
      <c r="F167" s="11" t="s">
        <v>641</v>
      </c>
      <c r="G167" s="11" t="n">
        <v>36</v>
      </c>
      <c r="H167" s="11" t="n">
        <v>0</v>
      </c>
      <c r="I167" s="11" t="n">
        <v>0</v>
      </c>
      <c r="J167" s="11" t="n">
        <v>36</v>
      </c>
      <c r="K167" s="11" t="s">
        <v>646</v>
      </c>
      <c r="L167" s="11" t="s">
        <v>54</v>
      </c>
      <c r="M167" s="11"/>
    </row>
    <row r="168" customFormat="false" ht="15" hidden="false" customHeight="false" outlineLevel="0" collapsed="false">
      <c r="A168" s="11" t="s">
        <v>762</v>
      </c>
      <c r="B168" s="11" t="s">
        <v>669</v>
      </c>
      <c r="C168" s="11" t="s">
        <v>637</v>
      </c>
      <c r="D168" s="11" t="s">
        <v>606</v>
      </c>
      <c r="E168" s="11" t="s">
        <v>151</v>
      </c>
      <c r="F168" s="11" t="s">
        <v>672</v>
      </c>
      <c r="G168" s="11" t="n">
        <v>7</v>
      </c>
      <c r="H168" s="11" t="n">
        <v>0</v>
      </c>
      <c r="I168" s="11" t="n">
        <v>0</v>
      </c>
      <c r="J168" s="11" t="n">
        <v>7</v>
      </c>
      <c r="K168" s="11" t="s">
        <v>646</v>
      </c>
      <c r="L168" s="11" t="s">
        <v>50</v>
      </c>
      <c r="M168" s="11"/>
    </row>
    <row r="169" customFormat="false" ht="15" hidden="false" customHeight="false" outlineLevel="0" collapsed="false">
      <c r="A169" s="11" t="s">
        <v>762</v>
      </c>
      <c r="B169" s="11" t="s">
        <v>700</v>
      </c>
      <c r="C169" s="11" t="s">
        <v>637</v>
      </c>
      <c r="D169" s="11" t="s">
        <v>606</v>
      </c>
      <c r="E169" s="11" t="s">
        <v>142</v>
      </c>
      <c r="F169" s="11" t="s">
        <v>713</v>
      </c>
      <c r="G169" s="11" t="n">
        <v>15</v>
      </c>
      <c r="H169" s="11" t="n">
        <v>0</v>
      </c>
      <c r="I169" s="11" t="n">
        <v>0</v>
      </c>
      <c r="J169" s="11" t="n">
        <v>15</v>
      </c>
      <c r="K169" s="11" t="s">
        <v>646</v>
      </c>
      <c r="L169" s="11" t="s">
        <v>144</v>
      </c>
      <c r="M169" s="11"/>
    </row>
    <row r="170" customFormat="false" ht="15" hidden="false" customHeight="false" outlineLevel="0" collapsed="false">
      <c r="A170" s="11" t="s">
        <v>762</v>
      </c>
      <c r="B170" s="11" t="s">
        <v>728</v>
      </c>
      <c r="C170" s="11" t="s">
        <v>637</v>
      </c>
      <c r="D170" s="11" t="s">
        <v>606</v>
      </c>
      <c r="E170" s="11" t="s">
        <v>682</v>
      </c>
      <c r="F170" s="11" t="s">
        <v>683</v>
      </c>
      <c r="G170" s="11" t="n">
        <v>4</v>
      </c>
      <c r="H170" s="11" t="n">
        <v>0</v>
      </c>
      <c r="I170" s="11" t="n">
        <v>0</v>
      </c>
      <c r="J170" s="11" t="n">
        <v>4</v>
      </c>
      <c r="K170" s="11" t="s">
        <v>646</v>
      </c>
      <c r="L170" s="11" t="s">
        <v>684</v>
      </c>
      <c r="M170" s="11"/>
    </row>
    <row r="171" customFormat="false" ht="15" hidden="false" customHeight="false" outlineLevel="0" collapsed="false">
      <c r="A171" s="11" t="s">
        <v>762</v>
      </c>
      <c r="B171" s="11" t="s">
        <v>648</v>
      </c>
      <c r="C171" s="11" t="s">
        <v>637</v>
      </c>
      <c r="D171" s="11" t="s">
        <v>606</v>
      </c>
      <c r="E171" s="11" t="s">
        <v>98</v>
      </c>
      <c r="F171" s="11" t="s">
        <v>686</v>
      </c>
      <c r="G171" s="11" t="n">
        <v>32</v>
      </c>
      <c r="H171" s="11" t="n">
        <v>0</v>
      </c>
      <c r="I171" s="11" t="n">
        <v>14</v>
      </c>
      <c r="J171" s="11" t="n">
        <v>18</v>
      </c>
      <c r="K171" s="11" t="s">
        <v>646</v>
      </c>
      <c r="L171" s="11" t="s">
        <v>100</v>
      </c>
      <c r="M171" s="11"/>
    </row>
    <row r="172" customFormat="false" ht="15" hidden="false" customHeight="false" outlineLevel="0" collapsed="false">
      <c r="A172" s="11" t="s">
        <v>764</v>
      </c>
      <c r="B172" s="11" t="s">
        <v>765</v>
      </c>
      <c r="C172" s="11" t="s">
        <v>637</v>
      </c>
      <c r="D172" s="11" t="s">
        <v>607</v>
      </c>
      <c r="E172" s="11" t="s">
        <v>766</v>
      </c>
      <c r="F172" s="11" t="s">
        <v>767</v>
      </c>
      <c r="G172" s="11" t="n">
        <v>10</v>
      </c>
      <c r="H172" s="11" t="n">
        <v>0</v>
      </c>
      <c r="I172" s="11" t="n">
        <v>0</v>
      </c>
      <c r="J172" s="11" t="n">
        <v>10</v>
      </c>
      <c r="K172" s="11" t="s">
        <v>646</v>
      </c>
      <c r="L172" s="11" t="s">
        <v>768</v>
      </c>
      <c r="M172" s="11"/>
    </row>
    <row r="173" customFormat="false" ht="15" hidden="false" customHeight="false" outlineLevel="0" collapsed="false">
      <c r="A173" s="11" t="s">
        <v>769</v>
      </c>
      <c r="B173" s="11" t="s">
        <v>770</v>
      </c>
      <c r="C173" s="11" t="s">
        <v>637</v>
      </c>
      <c r="D173" s="11" t="s">
        <v>609</v>
      </c>
      <c r="E173" s="11" t="s">
        <v>122</v>
      </c>
      <c r="F173" s="11" t="s">
        <v>123</v>
      </c>
      <c r="G173" s="11" t="n">
        <v>11</v>
      </c>
      <c r="H173" s="11" t="n">
        <v>0</v>
      </c>
      <c r="I173" s="11" t="n">
        <v>5</v>
      </c>
      <c r="J173" s="11" t="n">
        <v>6</v>
      </c>
      <c r="K173" s="11" t="s">
        <v>646</v>
      </c>
      <c r="L173" s="11" t="s">
        <v>124</v>
      </c>
      <c r="M173" s="11" t="s">
        <v>647</v>
      </c>
    </row>
    <row r="174" customFormat="false" ht="15" hidden="false" customHeight="false" outlineLevel="0" collapsed="false">
      <c r="A174" s="11" t="s">
        <v>769</v>
      </c>
      <c r="B174" s="11" t="s">
        <v>691</v>
      </c>
      <c r="C174" s="11" t="s">
        <v>637</v>
      </c>
      <c r="D174" s="11" t="s">
        <v>609</v>
      </c>
      <c r="E174" s="11" t="s">
        <v>151</v>
      </c>
      <c r="F174" s="11" t="s">
        <v>672</v>
      </c>
      <c r="G174" s="11" t="n">
        <v>5</v>
      </c>
      <c r="H174" s="11" t="n">
        <v>0</v>
      </c>
      <c r="I174" s="11" t="n">
        <v>0</v>
      </c>
      <c r="J174" s="11" t="n">
        <v>5</v>
      </c>
      <c r="K174" s="11" t="s">
        <v>646</v>
      </c>
      <c r="L174" s="11" t="s">
        <v>50</v>
      </c>
      <c r="M174" s="11"/>
    </row>
    <row r="175" customFormat="false" ht="15" hidden="false" customHeight="false" outlineLevel="0" collapsed="false">
      <c r="A175" s="11" t="s">
        <v>769</v>
      </c>
      <c r="B175" s="11" t="s">
        <v>771</v>
      </c>
      <c r="C175" s="11" t="s">
        <v>637</v>
      </c>
      <c r="D175" s="11" t="s">
        <v>609</v>
      </c>
      <c r="E175" s="11" t="s">
        <v>142</v>
      </c>
      <c r="F175" s="11" t="s">
        <v>713</v>
      </c>
      <c r="G175" s="11" t="n">
        <v>3</v>
      </c>
      <c r="H175" s="11" t="n">
        <v>0</v>
      </c>
      <c r="I175" s="11" t="n">
        <v>0</v>
      </c>
      <c r="J175" s="11" t="n">
        <v>3</v>
      </c>
      <c r="K175" s="11" t="s">
        <v>646</v>
      </c>
      <c r="L175" s="11" t="s">
        <v>144</v>
      </c>
      <c r="M175" s="11"/>
    </row>
    <row r="176" customFormat="false" ht="15" hidden="false" customHeight="false" outlineLevel="0" collapsed="false">
      <c r="A176" s="11" t="s">
        <v>769</v>
      </c>
      <c r="B176" s="11" t="s">
        <v>765</v>
      </c>
      <c r="C176" s="11" t="s">
        <v>637</v>
      </c>
      <c r="D176" s="11" t="s">
        <v>609</v>
      </c>
      <c r="E176" s="11" t="s">
        <v>119</v>
      </c>
      <c r="F176" s="11" t="s">
        <v>772</v>
      </c>
      <c r="G176" s="11" t="n">
        <v>11</v>
      </c>
      <c r="H176" s="11" t="n">
        <v>8</v>
      </c>
      <c r="I176" s="11" t="n">
        <v>3</v>
      </c>
      <c r="J176" s="11" t="n">
        <v>8</v>
      </c>
      <c r="K176" s="11" t="s">
        <v>639</v>
      </c>
      <c r="L176" s="11"/>
      <c r="M176" s="11"/>
    </row>
    <row r="177" customFormat="false" ht="15" hidden="false" customHeight="false" outlineLevel="0" collapsed="false">
      <c r="A177" s="11" t="s">
        <v>773</v>
      </c>
      <c r="B177" s="11" t="s">
        <v>761</v>
      </c>
      <c r="C177" s="11" t="s">
        <v>637</v>
      </c>
      <c r="D177" s="11" t="s">
        <v>610</v>
      </c>
      <c r="E177" s="11" t="s">
        <v>52</v>
      </c>
      <c r="F177" s="11" t="s">
        <v>641</v>
      </c>
      <c r="G177" s="11" t="n">
        <v>105</v>
      </c>
      <c r="H177" s="11" t="n">
        <v>0</v>
      </c>
      <c r="I177" s="11" t="n">
        <v>0</v>
      </c>
      <c r="J177" s="11" t="n">
        <v>105</v>
      </c>
      <c r="K177" s="11" t="s">
        <v>646</v>
      </c>
      <c r="L177" s="11" t="s">
        <v>54</v>
      </c>
      <c r="M177" s="11"/>
    </row>
    <row r="178" customFormat="false" ht="15" hidden="false" customHeight="false" outlineLevel="0" collapsed="false">
      <c r="A178" s="11" t="s">
        <v>773</v>
      </c>
      <c r="B178" s="11" t="s">
        <v>691</v>
      </c>
      <c r="C178" s="11" t="s">
        <v>637</v>
      </c>
      <c r="D178" s="11" t="s">
        <v>610</v>
      </c>
      <c r="E178" s="11" t="s">
        <v>45</v>
      </c>
      <c r="F178" s="11" t="s">
        <v>651</v>
      </c>
      <c r="G178" s="11" t="n">
        <v>8</v>
      </c>
      <c r="H178" s="11" t="n">
        <v>8</v>
      </c>
      <c r="I178" s="11" t="n">
        <v>0</v>
      </c>
      <c r="J178" s="11" t="n">
        <v>8</v>
      </c>
      <c r="K178" s="11" t="s">
        <v>639</v>
      </c>
      <c r="L178" s="11"/>
      <c r="M178" s="11"/>
    </row>
    <row r="179" customFormat="false" ht="15" hidden="false" customHeight="false" outlineLevel="0" collapsed="false">
      <c r="A179" s="11" t="s">
        <v>773</v>
      </c>
      <c r="B179" s="11" t="s">
        <v>650</v>
      </c>
      <c r="C179" s="11" t="s">
        <v>637</v>
      </c>
      <c r="D179" s="11" t="s">
        <v>610</v>
      </c>
      <c r="E179" s="11" t="s">
        <v>122</v>
      </c>
      <c r="F179" s="11" t="s">
        <v>123</v>
      </c>
      <c r="G179" s="11" t="n">
        <v>10</v>
      </c>
      <c r="H179" s="11" t="n">
        <v>0</v>
      </c>
      <c r="I179" s="11" t="n">
        <v>0</v>
      </c>
      <c r="J179" s="11" t="n">
        <v>10</v>
      </c>
      <c r="K179" s="11" t="s">
        <v>646</v>
      </c>
      <c r="L179" s="11" t="s">
        <v>124</v>
      </c>
      <c r="M179" s="11" t="s">
        <v>647</v>
      </c>
    </row>
    <row r="180" customFormat="false" ht="15" hidden="false" customHeight="false" outlineLevel="0" collapsed="false">
      <c r="A180" s="11" t="s">
        <v>773</v>
      </c>
      <c r="B180" s="11" t="s">
        <v>664</v>
      </c>
      <c r="C180" s="11" t="s">
        <v>637</v>
      </c>
      <c r="D180" s="11" t="s">
        <v>610</v>
      </c>
      <c r="E180" s="11" t="s">
        <v>60</v>
      </c>
      <c r="F180" s="11" t="s">
        <v>656</v>
      </c>
      <c r="G180" s="11" t="n">
        <v>5</v>
      </c>
      <c r="H180" s="11" t="n">
        <v>0</v>
      </c>
      <c r="I180" s="11" t="n">
        <v>0</v>
      </c>
      <c r="J180" s="11" t="n">
        <v>5</v>
      </c>
      <c r="K180" s="11" t="s">
        <v>646</v>
      </c>
      <c r="L180" s="11" t="s">
        <v>50</v>
      </c>
      <c r="M180" s="11"/>
    </row>
    <row r="181" customFormat="false" ht="15" hidden="false" customHeight="false" outlineLevel="0" collapsed="false">
      <c r="A181" s="11" t="s">
        <v>773</v>
      </c>
      <c r="B181" s="11" t="s">
        <v>669</v>
      </c>
      <c r="C181" s="11" t="s">
        <v>637</v>
      </c>
      <c r="D181" s="11" t="s">
        <v>610</v>
      </c>
      <c r="E181" s="11" t="s">
        <v>151</v>
      </c>
      <c r="F181" s="11" t="s">
        <v>672</v>
      </c>
      <c r="G181" s="11" t="n">
        <v>4</v>
      </c>
      <c r="H181" s="11" t="n">
        <v>0</v>
      </c>
      <c r="I181" s="11" t="n">
        <v>0</v>
      </c>
      <c r="J181" s="11" t="n">
        <v>4</v>
      </c>
      <c r="K181" s="11" t="s">
        <v>646</v>
      </c>
      <c r="L181" s="11" t="s">
        <v>50</v>
      </c>
      <c r="M181" s="11"/>
    </row>
    <row r="182" customFormat="false" ht="15" hidden="false" customHeight="false" outlineLevel="0" collapsed="false">
      <c r="A182" s="11" t="s">
        <v>773</v>
      </c>
      <c r="B182" s="11" t="s">
        <v>685</v>
      </c>
      <c r="C182" s="11" t="s">
        <v>637</v>
      </c>
      <c r="D182" s="11" t="s">
        <v>610</v>
      </c>
      <c r="E182" s="11" t="s">
        <v>48</v>
      </c>
      <c r="F182" s="11" t="s">
        <v>658</v>
      </c>
      <c r="G182" s="11" t="n">
        <v>9</v>
      </c>
      <c r="H182" s="11" t="n">
        <v>0</v>
      </c>
      <c r="I182" s="11" t="n">
        <v>0</v>
      </c>
      <c r="J182" s="11" t="n">
        <v>9</v>
      </c>
      <c r="K182" s="11" t="s">
        <v>646</v>
      </c>
      <c r="L182" s="11" t="s">
        <v>50</v>
      </c>
      <c r="M182" s="11"/>
    </row>
    <row r="183" customFormat="false" ht="15" hidden="false" customHeight="false" outlineLevel="0" collapsed="false">
      <c r="A183" s="11" t="s">
        <v>773</v>
      </c>
      <c r="B183" s="11" t="s">
        <v>758</v>
      </c>
      <c r="C183" s="11" t="s">
        <v>637</v>
      </c>
      <c r="D183" s="11" t="s">
        <v>610</v>
      </c>
      <c r="E183" s="11" t="s">
        <v>153</v>
      </c>
      <c r="F183" s="11" t="s">
        <v>676</v>
      </c>
      <c r="G183" s="11" t="n">
        <v>2</v>
      </c>
      <c r="H183" s="11" t="n">
        <v>2</v>
      </c>
      <c r="I183" s="11" t="n">
        <v>0</v>
      </c>
      <c r="J183" s="11" t="n">
        <v>2</v>
      </c>
      <c r="K183" s="11" t="s">
        <v>639</v>
      </c>
      <c r="L183" s="11"/>
      <c r="M183" s="11"/>
    </row>
    <row r="184" customFormat="false" ht="15" hidden="false" customHeight="false" outlineLevel="0" collapsed="false">
      <c r="A184" s="11" t="s">
        <v>773</v>
      </c>
      <c r="B184" s="11" t="s">
        <v>742</v>
      </c>
      <c r="C184" s="11" t="s">
        <v>637</v>
      </c>
      <c r="D184" s="11" t="s">
        <v>610</v>
      </c>
      <c r="E184" s="11" t="s">
        <v>113</v>
      </c>
      <c r="F184" s="11" t="s">
        <v>678</v>
      </c>
      <c r="G184" s="11" t="n">
        <v>9</v>
      </c>
      <c r="H184" s="11" t="n">
        <v>0</v>
      </c>
      <c r="I184" s="11" t="n">
        <v>0</v>
      </c>
      <c r="J184" s="11" t="n">
        <v>9</v>
      </c>
      <c r="K184" s="11" t="s">
        <v>646</v>
      </c>
      <c r="L184" s="11" t="s">
        <v>100</v>
      </c>
      <c r="M184" s="11"/>
    </row>
    <row r="185" customFormat="false" ht="15" hidden="false" customHeight="false" outlineLevel="0" collapsed="false">
      <c r="A185" s="11" t="s">
        <v>773</v>
      </c>
      <c r="B185" s="11" t="s">
        <v>693</v>
      </c>
      <c r="C185" s="11" t="s">
        <v>637</v>
      </c>
      <c r="D185" s="11" t="s">
        <v>610</v>
      </c>
      <c r="E185" s="11" t="s">
        <v>774</v>
      </c>
      <c r="F185" s="11" t="s">
        <v>775</v>
      </c>
      <c r="G185" s="11" t="n">
        <v>4</v>
      </c>
      <c r="H185" s="11" t="n">
        <v>0</v>
      </c>
      <c r="I185" s="11" t="n">
        <v>0</v>
      </c>
      <c r="J185" s="11" t="n">
        <v>4</v>
      </c>
      <c r="K185" s="11" t="s">
        <v>646</v>
      </c>
      <c r="L185" s="11" t="s">
        <v>82</v>
      </c>
      <c r="M185" s="11" t="s">
        <v>647</v>
      </c>
    </row>
    <row r="186" customFormat="false" ht="15" hidden="false" customHeight="false" outlineLevel="0" collapsed="false">
      <c r="A186" s="11" t="s">
        <v>773</v>
      </c>
      <c r="B186" s="11" t="s">
        <v>745</v>
      </c>
      <c r="C186" s="11" t="s">
        <v>637</v>
      </c>
      <c r="D186" s="11" t="s">
        <v>610</v>
      </c>
      <c r="E186" s="11" t="s">
        <v>130</v>
      </c>
      <c r="F186" s="11" t="s">
        <v>776</v>
      </c>
      <c r="G186" s="11" t="n">
        <v>3</v>
      </c>
      <c r="H186" s="11" t="n">
        <v>0</v>
      </c>
      <c r="I186" s="11" t="n">
        <v>0</v>
      </c>
      <c r="J186" s="11" t="n">
        <v>3</v>
      </c>
      <c r="K186" s="11" t="s">
        <v>646</v>
      </c>
      <c r="L186" s="11" t="s">
        <v>132</v>
      </c>
      <c r="M186" s="11"/>
    </row>
    <row r="187" customFormat="false" ht="15" hidden="false" customHeight="false" outlineLevel="0" collapsed="false">
      <c r="A187" s="11" t="s">
        <v>773</v>
      </c>
      <c r="B187" s="11" t="s">
        <v>648</v>
      </c>
      <c r="C187" s="11" t="s">
        <v>637</v>
      </c>
      <c r="D187" s="11" t="s">
        <v>610</v>
      </c>
      <c r="E187" s="11" t="s">
        <v>142</v>
      </c>
      <c r="F187" s="11" t="s">
        <v>713</v>
      </c>
      <c r="G187" s="11" t="n">
        <v>50</v>
      </c>
      <c r="H187" s="11" t="n">
        <v>0</v>
      </c>
      <c r="I187" s="11" t="n">
        <v>0</v>
      </c>
      <c r="J187" s="11" t="n">
        <v>50</v>
      </c>
      <c r="K187" s="11" t="s">
        <v>646</v>
      </c>
      <c r="L187" s="11" t="s">
        <v>144</v>
      </c>
      <c r="M187" s="11"/>
    </row>
    <row r="188" customFormat="false" ht="15" hidden="false" customHeight="false" outlineLevel="0" collapsed="false">
      <c r="A188" s="11" t="s">
        <v>773</v>
      </c>
      <c r="B188" s="11" t="s">
        <v>712</v>
      </c>
      <c r="C188" s="11" t="s">
        <v>637</v>
      </c>
      <c r="D188" s="11" t="s">
        <v>610</v>
      </c>
      <c r="E188" s="11" t="s">
        <v>682</v>
      </c>
      <c r="F188" s="11" t="s">
        <v>683</v>
      </c>
      <c r="G188" s="11" t="n">
        <v>6</v>
      </c>
      <c r="H188" s="11" t="n">
        <v>0</v>
      </c>
      <c r="I188" s="11" t="n">
        <v>0</v>
      </c>
      <c r="J188" s="11" t="n">
        <v>6</v>
      </c>
      <c r="K188" s="11" t="s">
        <v>646</v>
      </c>
      <c r="L188" s="11" t="s">
        <v>684</v>
      </c>
      <c r="M188" s="11"/>
    </row>
    <row r="189" customFormat="false" ht="15" hidden="false" customHeight="false" outlineLevel="0" collapsed="false">
      <c r="A189" s="11" t="s">
        <v>773</v>
      </c>
      <c r="B189" s="11" t="s">
        <v>640</v>
      </c>
      <c r="C189" s="11" t="s">
        <v>637</v>
      </c>
      <c r="D189" s="11" t="s">
        <v>610</v>
      </c>
      <c r="E189" s="11" t="s">
        <v>76</v>
      </c>
      <c r="F189" s="11" t="s">
        <v>739</v>
      </c>
      <c r="G189" s="11" t="n">
        <v>20</v>
      </c>
      <c r="H189" s="11" t="n">
        <v>0</v>
      </c>
      <c r="I189" s="11" t="n">
        <v>0</v>
      </c>
      <c r="J189" s="11" t="n">
        <v>20</v>
      </c>
      <c r="K189" s="11" t="s">
        <v>646</v>
      </c>
      <c r="L189" s="11" t="s">
        <v>78</v>
      </c>
      <c r="M189" s="11" t="s">
        <v>647</v>
      </c>
    </row>
    <row r="190" customFormat="false" ht="15" hidden="false" customHeight="false" outlineLevel="0" collapsed="false">
      <c r="A190" s="11" t="s">
        <v>773</v>
      </c>
      <c r="B190" s="11" t="s">
        <v>728</v>
      </c>
      <c r="C190" s="11" t="s">
        <v>637</v>
      </c>
      <c r="D190" s="11" t="s">
        <v>610</v>
      </c>
      <c r="E190" s="11" t="s">
        <v>156</v>
      </c>
      <c r="F190" s="11" t="s">
        <v>689</v>
      </c>
      <c r="G190" s="11" t="n">
        <v>12</v>
      </c>
      <c r="H190" s="11" t="n">
        <v>0</v>
      </c>
      <c r="I190" s="11" t="n">
        <v>0</v>
      </c>
      <c r="J190" s="11" t="n">
        <v>12</v>
      </c>
      <c r="K190" s="11" t="s">
        <v>646</v>
      </c>
      <c r="L190" s="11" t="s">
        <v>158</v>
      </c>
      <c r="M190" s="11"/>
    </row>
    <row r="191" customFormat="false" ht="15" hidden="false" customHeight="false" outlineLevel="0" collapsed="false">
      <c r="A191" s="11" t="s">
        <v>777</v>
      </c>
      <c r="B191" s="11" t="s">
        <v>778</v>
      </c>
      <c r="C191" s="11" t="s">
        <v>637</v>
      </c>
      <c r="D191" s="11"/>
      <c r="E191" s="11" t="s">
        <v>779</v>
      </c>
      <c r="F191" s="11" t="s">
        <v>780</v>
      </c>
      <c r="G191" s="11" t="n">
        <v>1</v>
      </c>
      <c r="H191" s="11" t="n">
        <v>0</v>
      </c>
      <c r="I191" s="11" t="n">
        <v>0</v>
      </c>
      <c r="J191" s="11" t="n">
        <v>1</v>
      </c>
      <c r="K191" s="11" t="s">
        <v>781</v>
      </c>
      <c r="L191" s="11"/>
      <c r="M191" s="11" t="s">
        <v>782</v>
      </c>
    </row>
    <row r="192" customFormat="false" ht="15" hidden="false" customHeight="false" outlineLevel="0" collapsed="false">
      <c r="A192" s="11" t="s">
        <v>777</v>
      </c>
      <c r="B192" s="11" t="s">
        <v>717</v>
      </c>
      <c r="C192" s="11" t="s">
        <v>637</v>
      </c>
      <c r="D192" s="11"/>
      <c r="E192" s="11" t="s">
        <v>37</v>
      </c>
      <c r="F192" s="11" t="s">
        <v>783</v>
      </c>
      <c r="G192" s="11" t="n">
        <v>48</v>
      </c>
      <c r="H192" s="11" t="n">
        <v>0</v>
      </c>
      <c r="I192" s="11" t="n">
        <v>0</v>
      </c>
      <c r="J192" s="11" t="n">
        <v>48</v>
      </c>
      <c r="K192" s="11" t="s">
        <v>781</v>
      </c>
      <c r="L192" s="11"/>
      <c r="M192" s="11" t="s">
        <v>782</v>
      </c>
    </row>
    <row r="193" customFormat="false" ht="15" hidden="false" customHeight="false" outlineLevel="0" collapsed="false">
      <c r="A193" s="11" t="s">
        <v>777</v>
      </c>
      <c r="B193" s="11" t="s">
        <v>765</v>
      </c>
      <c r="C193" s="11" t="s">
        <v>637</v>
      </c>
      <c r="D193" s="11"/>
      <c r="E193" s="11" t="s">
        <v>155</v>
      </c>
      <c r="F193" s="11" t="s">
        <v>784</v>
      </c>
      <c r="G193" s="11" t="n">
        <v>35</v>
      </c>
      <c r="H193" s="11" t="n">
        <v>0</v>
      </c>
      <c r="I193" s="11" t="n">
        <v>0</v>
      </c>
      <c r="J193" s="11" t="n">
        <v>35</v>
      </c>
      <c r="K193" s="11" t="s">
        <v>781</v>
      </c>
      <c r="L193" s="11"/>
      <c r="M193" s="11" t="s">
        <v>782</v>
      </c>
    </row>
    <row r="194" customFormat="false" ht="15" hidden="false" customHeight="false" outlineLevel="0" collapsed="false">
      <c r="A194" s="11" t="s">
        <v>785</v>
      </c>
      <c r="B194" s="11" t="s">
        <v>717</v>
      </c>
      <c r="C194" s="11" t="s">
        <v>637</v>
      </c>
      <c r="D194" s="11"/>
      <c r="E194" s="11" t="s">
        <v>786</v>
      </c>
      <c r="F194" s="11" t="s">
        <v>787</v>
      </c>
      <c r="G194" s="11" t="n">
        <v>3</v>
      </c>
      <c r="H194" s="11" t="n">
        <v>0</v>
      </c>
      <c r="I194" s="11" t="n">
        <v>0</v>
      </c>
      <c r="J194" s="11" t="n">
        <v>3</v>
      </c>
      <c r="K194" s="11" t="s">
        <v>781</v>
      </c>
      <c r="L194" s="11"/>
      <c r="M194" s="11" t="s">
        <v>782</v>
      </c>
    </row>
    <row r="195" customFormat="false" ht="15" hidden="false" customHeight="false" outlineLevel="0" collapsed="false">
      <c r="A195" s="11" t="s">
        <v>788</v>
      </c>
      <c r="B195" s="11" t="s">
        <v>789</v>
      </c>
      <c r="C195" s="11" t="s">
        <v>637</v>
      </c>
      <c r="D195" s="11"/>
      <c r="E195" s="11" t="s">
        <v>790</v>
      </c>
      <c r="F195" s="11" t="s">
        <v>791</v>
      </c>
      <c r="G195" s="11" t="n">
        <v>7500</v>
      </c>
      <c r="H195" s="11" t="n">
        <v>0</v>
      </c>
      <c r="I195" s="11" t="n">
        <v>0</v>
      </c>
      <c r="J195" s="11" t="n">
        <v>7500</v>
      </c>
      <c r="K195" s="11" t="s">
        <v>646</v>
      </c>
      <c r="L195" s="11" t="s">
        <v>792</v>
      </c>
      <c r="M195" s="11"/>
    </row>
    <row r="196" customFormat="false" ht="15" hidden="false" customHeight="false" outlineLevel="0" collapsed="false">
      <c r="A196" s="11" t="s">
        <v>788</v>
      </c>
      <c r="B196" s="11" t="s">
        <v>691</v>
      </c>
      <c r="C196" s="11" t="s">
        <v>637</v>
      </c>
      <c r="D196" s="11"/>
      <c r="E196" s="11" t="s">
        <v>793</v>
      </c>
      <c r="F196" s="11" t="s">
        <v>794</v>
      </c>
      <c r="G196" s="11" t="n">
        <v>15600</v>
      </c>
      <c r="H196" s="11" t="n">
        <v>0</v>
      </c>
      <c r="I196" s="11" t="n">
        <v>2400</v>
      </c>
      <c r="J196" s="11" t="n">
        <v>13200</v>
      </c>
      <c r="K196" s="11" t="s">
        <v>639</v>
      </c>
      <c r="L196" s="11"/>
      <c r="M196" s="11"/>
    </row>
    <row r="197" customFormat="false" ht="15" hidden="false" customHeight="false" outlineLevel="0" collapsed="false">
      <c r="A197" s="11" t="s">
        <v>788</v>
      </c>
      <c r="B197" s="11" t="s">
        <v>795</v>
      </c>
      <c r="C197" s="11" t="s">
        <v>637</v>
      </c>
      <c r="D197" s="11"/>
      <c r="E197" s="11" t="s">
        <v>796</v>
      </c>
      <c r="F197" s="11" t="s">
        <v>797</v>
      </c>
      <c r="G197" s="11" t="n">
        <v>60950</v>
      </c>
      <c r="H197" s="11" t="n">
        <v>0</v>
      </c>
      <c r="I197" s="11" t="n">
        <v>60929</v>
      </c>
      <c r="J197" s="11" t="n">
        <v>21</v>
      </c>
      <c r="K197" s="11" t="s">
        <v>646</v>
      </c>
      <c r="L197" s="11" t="s">
        <v>798</v>
      </c>
      <c r="M197" s="11"/>
    </row>
    <row r="198" customFormat="false" ht="15" hidden="false" customHeight="false" outlineLevel="0" collapsed="false">
      <c r="A198" s="11" t="s">
        <v>799</v>
      </c>
      <c r="B198" s="11" t="s">
        <v>717</v>
      </c>
      <c r="C198" s="11" t="s">
        <v>637</v>
      </c>
      <c r="D198" s="11"/>
      <c r="E198" s="11" t="s">
        <v>800</v>
      </c>
      <c r="F198" s="11" t="s">
        <v>801</v>
      </c>
      <c r="G198" s="11" t="n">
        <v>5000</v>
      </c>
      <c r="H198" s="11" t="n">
        <v>0</v>
      </c>
      <c r="I198" s="11" t="n">
        <v>0</v>
      </c>
      <c r="J198" s="11" t="n">
        <v>5000</v>
      </c>
      <c r="K198" s="11" t="s">
        <v>646</v>
      </c>
      <c r="L198" s="11" t="s">
        <v>802</v>
      </c>
      <c r="M19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2026-08-05T18:29:31Z</dcterms:created>
  <dc:creator>openpyxl</dc:creator>
  <dc:description/>
  <dc:language>en-US</dc:language>
  <cp:lastModifiedBy/>
  <dcterms:modified xsi:type="dcterms:W3CDTF">2026-08-05T19:37:46Z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