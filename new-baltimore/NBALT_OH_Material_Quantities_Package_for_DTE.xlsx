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mittal" sheetId="1" state="visible" r:id="rId3"/>
    <sheet name="Summary by CWO" sheetId="2" state="visible" r:id="rId4"/>
    <sheet name="Quantities by DTE IM" sheetId="3" state="visible" r:id="rId5"/>
    <sheet name="Quantities by CWO and IM" sheetId="4" state="visible" r:id="rId6"/>
    <sheet name="Pending IM Confirmation" sheetId="5" state="visible" r:id="rId7"/>
    <sheet name="Basis and Exclusions" sheetId="6" state="visible" r:id="rId8"/>
  </sheets>
  <definedNames>
    <definedName function="false" hidden="true" localSheetId="4" name="_xlnm._FilterDatabase" vbProcedure="false">'Pending IM Confirmation'!$B$5:$I$69</definedName>
    <definedName function="false" hidden="true" localSheetId="3" name="_xlnm._FilterDatabase" vbProcedure="false">'Quantities by CWO and IM'!$B$5:$I$1593</definedName>
    <definedName function="false" hidden="true" localSheetId="2" name="_xlnm._FilterDatabase" vbProcedure="false">'Quantities by DTE IM'!$B$5:$J$256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<sst xmlns="http://schemas.openxmlformats.org/spreadsheetml/2006/main" count="6947" uniqueCount="825">
  <si>
    <t xml:space="preserve">NEW BALTIMORE 4.8 kV CONVERSION PROGRAM</t>
  </si>
  <si>
    <t xml:space="preserve">Overhead Material Quantities Transmittal</t>
  </si>
  <si>
    <t xml:space="preserve">Contract No.</t>
  </si>
  <si>
    <t xml:space="preserve">4400008681</t>
  </si>
  <si>
    <t xml:space="preserve">From</t>
  </si>
  <si>
    <t xml:space="preserve">HWC Construction / CVR Engineering</t>
  </si>
  <si>
    <t xml:space="preserve">To</t>
  </si>
  <si>
    <t xml:space="preserve">DTE Electric Company — Attn: John Chang, Supply Chain</t>
  </si>
  <si>
    <t xml:space="preserve">Transmittal No.</t>
  </si>
  <si>
    <t xml:space="preserve">(enter)</t>
  </si>
  <si>
    <t xml:space="preserve">Transmittal Date</t>
  </si>
  <si>
    <t xml:space="preserve">Prepared Under Direction Of</t>
  </si>
  <si>
    <t xml:space="preserve">Jim Codling, SVP Engineering, CVR Engineering</t>
  </si>
  <si>
    <t xml:space="preserve">Yellow cells: complete before issuing.</t>
  </si>
  <si>
    <t xml:space="preserve">PURPOSE</t>
  </si>
  <si>
    <t xml:space="preserve">In response to DTE’s request for confirmed overhead material quantities, this package transmits the source-validated material quantity reconciliation for the New Baltimore overhead conversion scope: quantities by DTE IM number across the program, quantities by CWO and IM, and a short list of materials pending DTE IM confirmation. Quantities are reconciled across three independent sources: DTE CUE estimate material summaries, construction bills of material, and confirmed supplier order records.</t>
  </si>
  <si>
    <t xml:space="preserve">COVERAGE</t>
  </si>
  <si>
    <t xml:space="preserve">This package covers the 15 reconciled overhead CWOs listed on the Summary by CWO tab — approximately 97% of program install quantities when compared against DTE’s Maximo work-order quantities. Reconciliation of the remaining small CWOs (four recloser CWOs and CWO 73303193) will follow under separate cover. Underground CWOs removed from the program by credit are excluded.</t>
  </si>
  <si>
    <t xml:space="preserve">CONTENTS</t>
  </si>
  <si>
    <t xml:space="preserve">Summary by CWO</t>
  </si>
  <si>
    <t xml:space="preserve">Program headline quantities (poles, conductor, transformers) and material line counts per CWO.</t>
  </si>
  <si>
    <t xml:space="preserve">Quantities by DTE IM</t>
  </si>
  <si>
    <t xml:space="preserve">One row per confirmed DTE IM across the program: BOM, CUE-required, variance, and confirmed ordered quantities.</t>
  </si>
  <si>
    <t xml:space="preserve">Quantities by CWO and IM</t>
  </si>
  <si>
    <t xml:space="preserve">Full detail — each DTE IM within each contributing CWO.</t>
  </si>
  <si>
    <t xml:space="preserve">Pending IM Confirmation</t>
  </si>
  <si>
    <t xml:space="preserve">Materials without a confirmed DTE IM number; DTE confirmation requested.</t>
  </si>
  <si>
    <t xml:space="preserve">Basis and Exclusions</t>
  </si>
  <si>
    <t xml:space="preserve">Sources, methodology, exclusions, and reservation of rights.</t>
  </si>
  <si>
    <t xml:space="preserve">RESERVATION OF RIGHTS</t>
  </si>
  <si>
    <t xml:space="preserve">This transmittal is provided for quantity reconciliation and coordination purposes only. It documents material quantities derived from DTE CUE estimates, construction bills of material, and confirmed supplier order records. Nothing herein constitutes agreement to any credit, back-charge, price adjustment, or change to contract scope or value under Contract 4400008681, and all rights under the contract are expressly reserved. Any adjustment arising from these quantities shall be processed exclusively through the contract change process.</t>
  </si>
  <si>
    <t xml:space="preserve">Program Headline Quantities by CWO</t>
  </si>
  <si>
    <t xml:space="preserve">Source: reconciled DTE CUE estimates and construction BOMs (Jul 2026 reconciliation).</t>
  </si>
  <si>
    <t xml:space="preserve">CWO</t>
  </si>
  <si>
    <t xml:space="preserve">Pole Replacements</t>
  </si>
  <si>
    <t xml:space="preserve">Bare Conductor (ft)</t>
  </si>
  <si>
    <t xml:space="preserve">Transformers</t>
  </si>
  <si>
    <t xml:space="preserve">Material Line Items</t>
  </si>
  <si>
    <t xml:space="preserve">73232522</t>
  </si>
  <si>
    <t xml:space="preserve">73234686</t>
  </si>
  <si>
    <t xml:space="preserve">73239897</t>
  </si>
  <si>
    <t xml:space="preserve">73239916</t>
  </si>
  <si>
    <t xml:space="preserve">73239926</t>
  </si>
  <si>
    <t xml:space="preserve">73240913</t>
  </si>
  <si>
    <t xml:space="preserve">73242557</t>
  </si>
  <si>
    <t xml:space="preserve">73242619</t>
  </si>
  <si>
    <t xml:space="preserve">73244139</t>
  </si>
  <si>
    <t xml:space="preserve">73279347</t>
  </si>
  <si>
    <t xml:space="preserve">73301547</t>
  </si>
  <si>
    <t xml:space="preserve">73301585</t>
  </si>
  <si>
    <t xml:space="preserve">73305080</t>
  </si>
  <si>
    <t xml:space="preserve">73358165</t>
  </si>
  <si>
    <t xml:space="preserve">73802595</t>
  </si>
  <si>
    <t xml:space="preserve">TOTAL</t>
  </si>
  <si>
    <t xml:space="preserve">Pole, conductor, and transformer counts are program headline quantities from the CWO-level reconciliation; conductor is bare primary/neutral wire and excludes triplex/secondary cable. Material line items counts the CWO-and-IM detail rows in this package.</t>
  </si>
  <si>
    <t xml:space="preserve">Overhead Material Quantities by DTE IM — Program-Wide</t>
  </si>
  <si>
    <t xml:space="preserve">One row per confirmed DTE IM across all 15 reconciled CWOs. Ordered Qty reflects confirmed supplier order records as of 7/28/2026 and excludes DTE-furnished job stock.</t>
  </si>
  <si>
    <t xml:space="preserve">DTE IM</t>
  </si>
  <si>
    <t xml:space="preserve">Material Description</t>
  </si>
  <si>
    <t xml:space="preserve">UOM</t>
  </si>
  <si>
    <t xml:space="preserve">CWO Count</t>
  </si>
  <si>
    <t xml:space="preserve">BOM Qty</t>
  </si>
  <si>
    <t xml:space="preserve">CUE Required Qty</t>
  </si>
  <si>
    <t xml:space="preserve">Variance (CUE − BOM)</t>
  </si>
  <si>
    <t xml:space="preserve">Ordered Qty (as of 7/28/26)</t>
  </si>
  <si>
    <t xml:space="preserve">CWO Numbers</t>
  </si>
  <si>
    <t xml:space="preserve">100003861</t>
  </si>
  <si>
    <t xml:space="preserve">CLIP_STATIC,INSULTR DISTRBTN,5/8 IN DIA</t>
  </si>
  <si>
    <t xml:space="preserve">EA</t>
  </si>
  <si>
    <t xml:space="preserve">73232522; 73234686; 73239897; 73239916; 73239926; 73240913; 73242557; 73242619; 73244139; 73279347; 73301547; 73301585; 73305080; 73358165; 73802595</t>
  </si>
  <si>
    <t xml:space="preserve">100018327</t>
  </si>
  <si>
    <t xml:space="preserve">WASHER_FLAT,5/8 IN ID,1-3/4 IN OD,WROUGH</t>
  </si>
  <si>
    <t xml:space="preserve">100019342</t>
  </si>
  <si>
    <t xml:space="preserve">STRAP_GROUND,GALV STL</t>
  </si>
  <si>
    <t xml:space="preserve">100020717</t>
  </si>
  <si>
    <t xml:space="preserve">ROD_GROUND,5/8 IN DIA,CRBN STL,8 FT LG</t>
  </si>
  <si>
    <t xml:space="preserve">100021354</t>
  </si>
  <si>
    <t xml:space="preserve">BOLT_MACHINE,5/8 IN DIA,11 TPI,16 IN LG,</t>
  </si>
  <si>
    <t xml:space="preserve">100023899</t>
  </si>
  <si>
    <t xml:space="preserve">BOLT_MACHINE,5/8 IN DIA,11 TPI,12 IN LG,</t>
  </si>
  <si>
    <t xml:space="preserve">100026047</t>
  </si>
  <si>
    <t xml:space="preserve">WASHER_CURVED,3 IN X 3 IN,MALLEABLE/DUCT</t>
  </si>
  <si>
    <t xml:space="preserve">100027139</t>
  </si>
  <si>
    <t xml:space="preserve">STUD_INSULATOR,3/4 IN DIA X 7 IN LG,GALV</t>
  </si>
  <si>
    <t xml:space="preserve">100034502</t>
  </si>
  <si>
    <t xml:space="preserve">BOLT_EYE,5/8 IN DIA,11 TPI,12 IN LG,GALV</t>
  </si>
  <si>
    <t xml:space="preserve">100036719</t>
  </si>
  <si>
    <t xml:space="preserve">NUT_EYE,5/8 IN,GALV STL</t>
  </si>
  <si>
    <t xml:space="preserve">100043531</t>
  </si>
  <si>
    <t xml:space="preserve">INSULATOR_ELECT,CLAMP TOP,28KV,POLYMER,I</t>
  </si>
  <si>
    <t xml:space="preserve">100045998</t>
  </si>
  <si>
    <t xml:space="preserve">ARRESTER_SURGE,DISTRBTN,POLYMER,METL OXI</t>
  </si>
  <si>
    <t xml:space="preserve">100048429</t>
  </si>
  <si>
    <t xml:space="preserve">CABLE_BARE,GRND,2 AWG,CU,SOLID,5000 FT L</t>
  </si>
  <si>
    <t xml:space="preserve">FT</t>
  </si>
  <si>
    <t xml:space="preserve">100051352</t>
  </si>
  <si>
    <t xml:space="preserve">INSULATOR_STRAIN,CONDUCTOR DEADEND,25 IN</t>
  </si>
  <si>
    <t xml:space="preserve">100052587</t>
  </si>
  <si>
    <t xml:space="preserve">WASHER_SQUARE,2-1/4 IN X 2-1/4 IN,3/16 I</t>
  </si>
  <si>
    <t xml:space="preserve">100073592</t>
  </si>
  <si>
    <t xml:space="preserve">INSULATOR_SUSP,DEADEND,12-3/4(+-1/4) IN,</t>
  </si>
  <si>
    <t xml:space="preserve">100075415</t>
  </si>
  <si>
    <t xml:space="preserve">GUARD_PROTCT,GRND WIRE MOLDING,1 IN WD,D</t>
  </si>
  <si>
    <t xml:space="preserve">100088479</t>
  </si>
  <si>
    <t xml:space="preserve">WASHER_LOCKING,HELICAL,5/8 IN,GALV STL A</t>
  </si>
  <si>
    <t xml:space="preserve">100101263</t>
  </si>
  <si>
    <t xml:space="preserve">WASHER_SQUARE,7/8 IN ID,3 IN X 3 IN,3/16</t>
  </si>
  <si>
    <t xml:space="preserve">100101751</t>
  </si>
  <si>
    <t xml:space="preserve">STAPLE_FASTENER,0.148 IN DIA X 1-1/2 INL</t>
  </si>
  <si>
    <t xml:space="preserve">LB</t>
  </si>
  <si>
    <t xml:space="preserve">100039663</t>
  </si>
  <si>
    <t xml:space="preserve">WASHER_LOCKING,DBL COIL,5/8 IN,GALV STL</t>
  </si>
  <si>
    <t xml:space="preserve">73232522; 73234686; 73239897; 73239916; 73239926; 73240913; 73242557; 73242619; 73244139; 73279347; 73301547; 73301585; 73305080; 73802595</t>
  </si>
  <si>
    <t xml:space="preserve">100062852</t>
  </si>
  <si>
    <t xml:space="preserve">STUD_INSULATOR,3/4 IN DIA X 1-3/4 IN LG,</t>
  </si>
  <si>
    <t xml:space="preserve">100068975</t>
  </si>
  <si>
    <t xml:space="preserve">Fuse &amp; Arrester Mounting Bracket</t>
  </si>
  <si>
    <t xml:space="preserve">73232522; 73234686; 73239897; 73239916; 73239926; 73240913; 73242557; 73242619; 73244139; 73301547; 73301585; 73305080; 73358165; 73802595</t>
  </si>
  <si>
    <t xml:space="preserve">100070377</t>
  </si>
  <si>
    <t xml:space="preserve">CUTOUT_FUSED,OPN,POLYMER,7.2-14.4KV,110K</t>
  </si>
  <si>
    <t xml:space="preserve">73232522; 73234686; 73239897; 73239916; 73239926; 73240913; 73242557; 73242619; 73244139; 73279347; 73301547; 73301585; 73358165; 73802595</t>
  </si>
  <si>
    <t xml:space="preserve">100076666</t>
  </si>
  <si>
    <t xml:space="preserve">BRACKET_MNTNG,NEMA,ARSTR,3/8 IN X 1-3/4</t>
  </si>
  <si>
    <t xml:space="preserve">100100489</t>
  </si>
  <si>
    <t xml:space="preserve">CABLE_INSUL,XLPE,6 AWG,CU,SOLID,1 CONDUC</t>
  </si>
  <si>
    <t xml:space="preserve">100317966</t>
  </si>
  <si>
    <t xml:space="preserve">CONNECTOR_OVERHEAD,HOT LINE,NO. 6-4/0,0.</t>
  </si>
  <si>
    <t xml:space="preserve">100319272</t>
  </si>
  <si>
    <t xml:space="preserve">CONNECTOR_CABLE,GRNDING,CU,NO. 6-2/0</t>
  </si>
  <si>
    <t xml:space="preserve">100012641</t>
  </si>
  <si>
    <t xml:space="preserve">BOLT_EYE,5/8 IN DIA,11 TPI,8 IN LG,GALV</t>
  </si>
  <si>
    <t xml:space="preserve">73232522; 73234686; 73239897; 73239916; 73239926; 73240913; 73242557; 73242619; 73244139; 73279347; 73301585; 73358165; 73802595</t>
  </si>
  <si>
    <t xml:space="preserve">100039650</t>
  </si>
  <si>
    <t xml:space="preserve">CLAMP_DEADEND,STRGHT LINE,ALUM ALLOY,ACS</t>
  </si>
  <si>
    <t xml:space="preserve">73232522; 73234686; 73239897; 73239916; 73239926; 73240913; 73242557; 73242619; 73244139; 73279347; 73301547; 73301585; 73802595</t>
  </si>
  <si>
    <t xml:space="preserve">100039761</t>
  </si>
  <si>
    <t xml:space="preserve">CABLE_BARE,1/0 AWG,6 X 1 STRANDD,6095 FT</t>
  </si>
  <si>
    <t xml:space="preserve">73232522; 73234686; 73239897; 73239916; 73239926; 73240913; 73242557; 73242619; 73244139; 73301547; 73301585; 73358165; 73802595</t>
  </si>
  <si>
    <t xml:space="preserve">100057672</t>
  </si>
  <si>
    <t xml:space="preserve">ROD_ANCHOR,EXT,1-1/2 IN DIA,GALV STL,3-1</t>
  </si>
  <si>
    <t xml:space="preserve">73232522; 73234686; 73239897; 73239916; 73239926; 73240913; 73242557; 73242619; 73244139; 73279347; 73301585; 73305080; 73802595</t>
  </si>
  <si>
    <t xml:space="preserve">100081480</t>
  </si>
  <si>
    <t xml:space="preserve">CONNECTOR_CABLE,TAP,BRNZ,NO. 6,SPLIT BOL</t>
  </si>
  <si>
    <t xml:space="preserve">100095397</t>
  </si>
  <si>
    <t xml:space="preserve">CROSSARM_ASSY,DEADEND WITH CENTR BRKT,10</t>
  </si>
  <si>
    <t xml:space="preserve">73234686; 73239897; 73239916; 73239926; 73240913; 73242557; 73244139; 73279347; 73301547; 73301585; 73305080; 73358165; 73802595</t>
  </si>
  <si>
    <t xml:space="preserve">100095608</t>
  </si>
  <si>
    <t xml:space="preserve">CROSSARM_ASSY,DEADEND WITH CENTR BRKT,8</t>
  </si>
  <si>
    <t xml:space="preserve">100097691</t>
  </si>
  <si>
    <t xml:space="preserve">CLAMP_JUMPER,BRNZ,CU,8-1/0</t>
  </si>
  <si>
    <t xml:space="preserve">100105615</t>
  </si>
  <si>
    <t xml:space="preserve">BOLT_MACHINE,1/2 IN DIA,13 TPI,1-1/2 IN</t>
  </si>
  <si>
    <t xml:space="preserve">100110224</t>
  </si>
  <si>
    <t xml:space="preserve">WASHER_SQUARE,9/16 IN ID,2 IN X 2 IN,1/8</t>
  </si>
  <si>
    <t xml:space="preserve">73232522; 73234686; 73239916; 73239926; 73240913; 73242557; 73242619; 73244139; 73279347; 73301547; 73301585; 73305080; 73802595</t>
  </si>
  <si>
    <t xml:space="preserve">100115241</t>
  </si>
  <si>
    <t xml:space="preserve">LINK_FUSE,UNV,15 AMP</t>
  </si>
  <si>
    <t xml:space="preserve">100301153</t>
  </si>
  <si>
    <t xml:space="preserve">BRACKET_MNTNG,STND OFF,LINE POST INSULTR</t>
  </si>
  <si>
    <t xml:space="preserve">100310426</t>
  </si>
  <si>
    <t xml:space="preserve">BRACKET_MNTNG,15 DEG STNDOFF,FOR FUSE AN</t>
  </si>
  <si>
    <t xml:space="preserve">100329907</t>
  </si>
  <si>
    <t xml:space="preserve">ROPE_WIRE,EHS,7/16 IN DIA,20800 LB</t>
  </si>
  <si>
    <t xml:space="preserve">73232522; 73234686; 73239897; 73239916; 73239926; 73240913; 73242557; 73242619; 73244139; 73301547; 73301585; 73305080; 73802595</t>
  </si>
  <si>
    <t xml:space="preserve">100020751</t>
  </si>
  <si>
    <t xml:space="preserve">WIRE_TIE,NO. 4,ALUM,132 IN LG</t>
  </si>
  <si>
    <t xml:space="preserve">73232522; 73234686; 73239897; 73239916; 73239926; 73240913; 73242557; 73242619; 73244139; 73301547; 73301585; 73305080</t>
  </si>
  <si>
    <t xml:space="preserve">100021353</t>
  </si>
  <si>
    <t xml:space="preserve">LINK_FUSE,UNV,30 AMP</t>
  </si>
  <si>
    <t xml:space="preserve">73232522; 73234686; 73239916; 73239926; 73240913; 73242557; 73242619; 73244139; 73279347; 73301547; 73301585; 73802595</t>
  </si>
  <si>
    <t xml:space="preserve">100043150</t>
  </si>
  <si>
    <t xml:space="preserve">CONNECTOR_CABLE,WDGE,ALUM,ACSR/ALUM/CU,2</t>
  </si>
  <si>
    <t xml:space="preserve">73234686; 73239916; 73239926; 73240913; 73242557; 73242619; 73244139; 73279347; 73301547; 73301585; 73305080; 73802595</t>
  </si>
  <si>
    <t xml:space="preserve">100074493</t>
  </si>
  <si>
    <t xml:space="preserve">DEADEND_PREFORMED,GUY GRIP,38 IN LG,STL,</t>
  </si>
  <si>
    <t xml:space="preserve">73232522; 73234686; 73239897; 73239916; 73239926; 73240913; 73242557; 73242619; 73244139; 73301585; 73305080; 73802595</t>
  </si>
  <si>
    <t xml:space="preserve">100085230</t>
  </si>
  <si>
    <t xml:space="preserve">DEADEND_PREFORMED,GRIP,27 IN LG,STL,ACSR</t>
  </si>
  <si>
    <t xml:space="preserve">73232522; 73234686; 73239897; 73239916; 73239926; 73240913; 73242557; 73242619; 73244139; 73301547; 73358165; 73802595</t>
  </si>
  <si>
    <t xml:space="preserve">100094865</t>
  </si>
  <si>
    <t xml:space="preserve">ANCHOR_POLE_BASE,8 IN,CAST IRON/STL,PISA</t>
  </si>
  <si>
    <t xml:space="preserve">73232522; 73234686; 73239897; 73239916; 73239926; 73240913; 73242557; 73242619; 73244139; 73301547; 73305080; 73802595</t>
  </si>
  <si>
    <t xml:space="preserve">100095866</t>
  </si>
  <si>
    <t xml:space="preserve">INSULATOR_STRAIN,GUY,63 IN LG,FBRGLAS,CL</t>
  </si>
  <si>
    <t xml:space="preserve">100106779</t>
  </si>
  <si>
    <t xml:space="preserve">ROD_ANCHOR,1 IN DIA,GALV STL,7 FT LG,TRI</t>
  </si>
  <si>
    <t xml:space="preserve">73232522; 73234686; 73239897; 73239916; 73239926; 73240913; 73242557; 73242619; 73279347; 73301547; 73305080; 73802595</t>
  </si>
  <si>
    <t xml:space="preserve">100004757</t>
  </si>
  <si>
    <t xml:space="preserve">MARKER_GUY,PLSTC,1 IN TO 2-1/2 IN DIA,PE</t>
  </si>
  <si>
    <t xml:space="preserve">73232522; 73234686; 73239897; 73239916; 73239926; 73240913; 73242557; 73242619; 73244139; 73305080; 73802595</t>
  </si>
  <si>
    <t xml:space="preserve">100032667</t>
  </si>
  <si>
    <t xml:space="preserve">BOLT_MACHINE,5/8 IN DIA,11 TPI,10 IN LG,</t>
  </si>
  <si>
    <t xml:space="preserve">73232522; 73234686; 73239897; 73239916; 73239926; 73240913; 73242557; 73244139; 73301547; 73301585; 73305080</t>
  </si>
  <si>
    <t xml:space="preserve">100035876</t>
  </si>
  <si>
    <t xml:space="preserve">ANCHOR_SCREW,TD, HELIX SHAFT ASSY,8-10 I</t>
  </si>
  <si>
    <t xml:space="preserve">73232522; 73234686; 73239897; 73239916; 73239926; 73240913; 73242557; 73242619; 73244139; 73301585; 73305080</t>
  </si>
  <si>
    <t xml:space="preserve">100039653</t>
  </si>
  <si>
    <t xml:space="preserve">ADAPTER_PIPE,GUY,18 IN LG,GALV STL</t>
  </si>
  <si>
    <t xml:space="preserve">100043158</t>
  </si>
  <si>
    <t xml:space="preserve">CONNECTOR_CABLE,WDGE,ALUM,ACSR,1/0 AWG A</t>
  </si>
  <si>
    <t xml:space="preserve">73232522; 73234686; 73239897; 73239916; 73239926; 73240913; 73242557; 73242619; 73244139; 73301547; 73301585</t>
  </si>
  <si>
    <t xml:space="preserve">100057013</t>
  </si>
  <si>
    <t xml:space="preserve">WASHER_CURVED,4 IN X 4 IN,MALLEABLE/DUCT</t>
  </si>
  <si>
    <t xml:space="preserve">73232522; 73234686; 73239926; 73240913; 73242557; 73242619; 73244139; 73279347; 73301547; 73301585; 73802595</t>
  </si>
  <si>
    <t xml:space="preserve">100073413</t>
  </si>
  <si>
    <t xml:space="preserve">BRACKET_MNTNG,KIT,ARSTR,1/4 IN THK MIN,G</t>
  </si>
  <si>
    <t xml:space="preserve">73232522; 73234686; 73239897; 73239916; 73239926; 73240913; 73242557; 73242619; 73244139; 73301547; 73802595</t>
  </si>
  <si>
    <t xml:space="preserve">100082948</t>
  </si>
  <si>
    <t xml:space="preserve">DEADEND_PREFORMED,GUY GRIP,31 IN LG,STL,</t>
  </si>
  <si>
    <t xml:space="preserve">73232522; 73234686; 73239897; 73239916; 73239926; 73240913; 73242557; 73242619; 73244139; 73301585; 73802595</t>
  </si>
  <si>
    <t xml:space="preserve">100084645</t>
  </si>
  <si>
    <t xml:space="preserve">DEADEND_PREFORMED,34 IN LG,ALUM,0.030 IN</t>
  </si>
  <si>
    <t xml:space="preserve">100088028</t>
  </si>
  <si>
    <t xml:space="preserve">BRACKET_SUPPORT,POLETOP,13.75 X 4.12 X 4</t>
  </si>
  <si>
    <t xml:space="preserve">73232522; 73234686; 73239897; 73239916; 73239926; 73242557; 73242619; 73244139; 73279347; 73301547; 73301585</t>
  </si>
  <si>
    <t xml:space="preserve">100088575</t>
  </si>
  <si>
    <t xml:space="preserve">POLE_WOOD, PINE, 45FT, CL 3</t>
  </si>
  <si>
    <t xml:space="preserve">73232522; 73234686; 73239897; 73239916; 73239926; 73240913; 73242557; 73242619; 73244139; 73301547; 73358165</t>
  </si>
  <si>
    <t xml:space="preserve">100303365</t>
  </si>
  <si>
    <t xml:space="preserve">CROSSARM_ASSY,TANGNT WITH CENTR BRKT,8 F</t>
  </si>
  <si>
    <t xml:space="preserve">73232522; 73234686; 73239897; 73239916; 73239926; 73240913; 73242557; 73242619; 73244139; 73279347; 73802595</t>
  </si>
  <si>
    <t xml:space="preserve">100303366</t>
  </si>
  <si>
    <t xml:space="preserve">CROSSARM_ASSY,TANGNT WITH CENTR BRKT,10</t>
  </si>
  <si>
    <t xml:space="preserve">73234686; 73239897; 73239916; 73239926; 73240913; 73242557; 73242619; 73244139; 73279347; 73301547; 73301585</t>
  </si>
  <si>
    <t xml:space="preserve">100321662</t>
  </si>
  <si>
    <t xml:space="preserve">ATTACHMENT_MNTNG,GUY, NO CLEATS,4 IN,DUC</t>
  </si>
  <si>
    <t xml:space="preserve">300014321</t>
  </si>
  <si>
    <t xml:space="preserve">TRANSFORMER_DISTR,OIL FILLED/POLE,4800/8</t>
  </si>
  <si>
    <t xml:space="preserve">100008297</t>
  </si>
  <si>
    <t xml:space="preserve">INSULATOR_PIN,1 IN DIA,PORCLN,F-NECK,LAR</t>
  </si>
  <si>
    <t xml:space="preserve">73232522; 73234686; 73239897; 73239916; 73239926; 73240913; 73242557; 73242619; 73244139; 73301547</t>
  </si>
  <si>
    <t xml:space="preserve">100017321</t>
  </si>
  <si>
    <t xml:space="preserve">TIE_INSULATOR,1-3/4 IN DIA,23 IN-25 IN L</t>
  </si>
  <si>
    <t xml:space="preserve">73234686; 73239897; 73239916; 73239926; 73240913; 73242557; 73242619; 73244139; 73301547; 73358165</t>
  </si>
  <si>
    <t xml:space="preserve">100017876</t>
  </si>
  <si>
    <t xml:space="preserve">CONNECTOR_CABLE,TAP,BRNZ,CU,NO. 2</t>
  </si>
  <si>
    <t xml:space="preserve">73232522; 73234686; 73239926; 73240913; 73242557; 73244139; 73279347; 73301585; 73305080; 73802595</t>
  </si>
  <si>
    <t xml:space="preserve">100033980</t>
  </si>
  <si>
    <t xml:space="preserve">SCREW_LAG,1/2 IN DIA,4 IN LG,HOT DIP GAL</t>
  </si>
  <si>
    <t xml:space="preserve">73232522; 73234686; 73239926; 73240913; 73242557; 73244139; 73301547; 73301585; 73305080; 73802595</t>
  </si>
  <si>
    <t xml:space="preserve">100050777</t>
  </si>
  <si>
    <t xml:space="preserve">CABLE_INSUL,TRIPLEX,PE,1/0 AWG,ALUM,7 ST</t>
  </si>
  <si>
    <t xml:space="preserve">100062663</t>
  </si>
  <si>
    <t xml:space="preserve">BOLT_MACHINE,5/8 IN DIA,11 TPI,14 IN LG,</t>
  </si>
  <si>
    <t xml:space="preserve">73232522; 73234686; 73239926; 73240913; 73242557; 73242619; 73244139; 73301547; 73301585; 73305080</t>
  </si>
  <si>
    <t xml:space="preserve">100079751</t>
  </si>
  <si>
    <t xml:space="preserve">CONNECTOR_CABLE,GRND,NO.10-NO.1,1/2 IN,B</t>
  </si>
  <si>
    <t xml:space="preserve">73232522; 73234686; 73239916; 73239926; 73240913; 73242557; 73279347; 73301547; 73301585; 73802595</t>
  </si>
  <si>
    <t xml:space="preserve">100083862</t>
  </si>
  <si>
    <t xml:space="preserve">73234686; 73239897; 73239916; 73239926; 73240913; 73242557; 73244139; 73305080; 73358165; 73802595</t>
  </si>
  <si>
    <t xml:space="preserve">100097576</t>
  </si>
  <si>
    <t xml:space="preserve">INSULATOR_STRAIN,DEADEND,3 IN SPOOL,PORC</t>
  </si>
  <si>
    <t xml:space="preserve">100109390</t>
  </si>
  <si>
    <t xml:space="preserve">LEAD_ELECT,SECNDRY,10 FT LG,CU,2 AWG SOL</t>
  </si>
  <si>
    <t xml:space="preserve">73232522; 73234686; 73239897; 73239916; 73239926; 73240913; 73242619; 73244139; 73301547; 73802595</t>
  </si>
  <si>
    <t xml:space="preserve">100115939</t>
  </si>
  <si>
    <t xml:space="preserve">CABLE_BARE,636KCMIL,ALUM,37 STRAND,6200</t>
  </si>
  <si>
    <t xml:space="preserve">73234686; 73239926; 73240913; 73242557; 73244139; 73301547; 73301585; 73305080; 73358165; 73802595</t>
  </si>
  <si>
    <t xml:space="preserve">100319274</t>
  </si>
  <si>
    <t xml:space="preserve">RACK_INSULATOR,HD TRIPLX SECNDRY,PORCLN</t>
  </si>
  <si>
    <t xml:space="preserve">100319350</t>
  </si>
  <si>
    <t xml:space="preserve">RACK_INSULATOR,HD SECNDRY,PORCLN SPOOLS,</t>
  </si>
  <si>
    <t xml:space="preserve">73232522; 73234686; 73239897; 73239916; 73239926; 73240913; 73242557; 73242619; 73244139; 73358165</t>
  </si>
  <si>
    <t xml:space="preserve">100339982</t>
  </si>
  <si>
    <t xml:space="preserve">FUSE_ASSY,CURLMTG,7.6KV,20 AMP</t>
  </si>
  <si>
    <t xml:space="preserve">100339983</t>
  </si>
  <si>
    <t xml:space="preserve">FUSE_ASSY,CURLMTG,7.6KV,30 AMP</t>
  </si>
  <si>
    <t xml:space="preserve">73234686; 73239897; 73239916; 73239926; 73240913; 73242557; 73242619; 73244139; 73301547; 73301585</t>
  </si>
  <si>
    <t xml:space="preserve">100008748</t>
  </si>
  <si>
    <t xml:space="preserve">INSULATOR_STRAIN,GUY,27 IN LG,FBRGLAS 18</t>
  </si>
  <si>
    <t xml:space="preserve">73232522; 73234686; 73239897; 73239916; 73239926; 73242557; 73242619; 73244139; 73305080</t>
  </si>
  <si>
    <t xml:space="preserve">100009193</t>
  </si>
  <si>
    <t xml:space="preserve">GUY_ASSY,5/16 IN DIA,125 FT LG,EHS STL S</t>
  </si>
  <si>
    <t xml:space="preserve">73232522; 73234686; 73239916; 73239926; 73240913; 73242557; 73242619; 73244139; 73301585</t>
  </si>
  <si>
    <t xml:space="preserve">100015054</t>
  </si>
  <si>
    <t xml:space="preserve">Connector Wedge Al/Cu #6-#2</t>
  </si>
  <si>
    <t xml:space="preserve">73232522; 73239897; 73239926; 73242557; 73242619; 73244139; 73305080; 73358165; 73802595</t>
  </si>
  <si>
    <t xml:space="preserve">100328220</t>
  </si>
  <si>
    <t xml:space="preserve">BRACKET_MNTNG,STNDOFF,INSULTR,24 IN LG,F</t>
  </si>
  <si>
    <t xml:space="preserve">73232522; 73234686; 73239897; 73239916; 73239926; 73240913; 73242557; 73242619; 73244139</t>
  </si>
  <si>
    <t xml:space="preserve">300014322</t>
  </si>
  <si>
    <t xml:space="preserve">73234686; 73239916; 73239926; 73240913; 73242557; 73244139; 73301547; 73301585; 73802595</t>
  </si>
  <si>
    <t xml:space="preserve">100010379</t>
  </si>
  <si>
    <t xml:space="preserve">LEAD_ELECT,SECNDRY,10 FT LG,CU,1/0 AWG</t>
  </si>
  <si>
    <t xml:space="preserve">73234686; 73239916; 73239926; 73240913; 73242557; 73244139; 73301547; 73301585</t>
  </si>
  <si>
    <t xml:space="preserve">100017594</t>
  </si>
  <si>
    <t xml:space="preserve">INSULATOR_SUSP,DEADEND,4-1/4 IN,PORCLN,S</t>
  </si>
  <si>
    <t xml:space="preserve">73232522; 73239897; 73239916; 73239926; 73242557; 73242619; 73244139; 73301547</t>
  </si>
  <si>
    <t xml:space="preserve">100024990</t>
  </si>
  <si>
    <t xml:space="preserve">TIE_CABLE,NYLON,0.30 IN WD,15.1 IN LG,3</t>
  </si>
  <si>
    <t xml:space="preserve">73234686; 73239926; 73240913; 73242557; 73244139; 73301547; 73301585; 73305080</t>
  </si>
  <si>
    <t xml:space="preserve">100032688</t>
  </si>
  <si>
    <t xml:space="preserve">ROPE_WIRE,5/16 IN DIA,STL,5000 FT LG REE</t>
  </si>
  <si>
    <t xml:space="preserve">73232522; 73234686; 73239897; 73239926; 73240913; 73242557; 73242619; 73244139</t>
  </si>
  <si>
    <t xml:space="preserve">100039652</t>
  </si>
  <si>
    <t xml:space="preserve">ROD_ANCHOR,5/8 IN DIA,GALV STL,7 FT LG,T</t>
  </si>
  <si>
    <t xml:space="preserve">73232522; 73239916; 73239926; 73240913; 73242557; 73242619; 73279347; 73802595</t>
  </si>
  <si>
    <t xml:space="preserve">100042455</t>
  </si>
  <si>
    <t xml:space="preserve">DEADEND_PREFORMED,GRIP,24 IN LG,STL,ACSR</t>
  </si>
  <si>
    <t xml:space="preserve">73232522; 73234686; 73239916; 73239926; 73240913; 73242557; 73244139; 73301547</t>
  </si>
  <si>
    <t xml:space="preserve">100049622</t>
  </si>
  <si>
    <t xml:space="preserve">LEAD_ELECT,SECNDRY,10 FT LG,CU,4/0 AWG</t>
  </si>
  <si>
    <t xml:space="preserve">100058550</t>
  </si>
  <si>
    <t xml:space="preserve">73234686; 73239926; 73240913; 73242557; 73244139; 73305080; 73358165; 73802595</t>
  </si>
  <si>
    <t xml:space="preserve">100065979</t>
  </si>
  <si>
    <t xml:space="preserve">WASHER_LOCKING,REGULAR,3/4 IN,GALV STL A</t>
  </si>
  <si>
    <t xml:space="preserve">73234686; 73239926; 73240913; 73242619; 73244139; 73279347; 73301547; 73301585</t>
  </si>
  <si>
    <t xml:space="preserve">100102696</t>
  </si>
  <si>
    <t xml:space="preserve">Guy Insulator Attachment</t>
  </si>
  <si>
    <t xml:space="preserve">73232522; 73239897; 73239926; 73242557; 73242619; 73301585; 73305080; 73802595</t>
  </si>
  <si>
    <t xml:space="preserve">100102973</t>
  </si>
  <si>
    <t xml:space="preserve">THIMBLE_WIRE_ROPE,5/8 IN DIA,GALV STL,1</t>
  </si>
  <si>
    <t xml:space="preserve">100310427</t>
  </si>
  <si>
    <t xml:space="preserve">73232522; 73239926; 73242557; 73242619; 73244139; 73279347; 73301547; 73301585</t>
  </si>
  <si>
    <t xml:space="preserve">100310428</t>
  </si>
  <si>
    <t xml:space="preserve">73232522; 73234686; 73242557; 73242619; 73244139; 73279347; 73301547; 73301585</t>
  </si>
  <si>
    <t xml:space="preserve">100027540</t>
  </si>
  <si>
    <t xml:space="preserve">CABLE_INSUL,XLPE,4/0 AWG,CU,19 STRANDD</t>
  </si>
  <si>
    <t xml:space="preserve">73234686; 73239916; 73239926; 73240913; 73279347; 73301585; 73802595</t>
  </si>
  <si>
    <t xml:space="preserve">100042242</t>
  </si>
  <si>
    <t xml:space="preserve">POLE_WOOD, PINE, 55FT, CL 1</t>
  </si>
  <si>
    <t xml:space="preserve">73234686; 73239926; 73240913; 73242557; 73244139; 73301585; 73305080</t>
  </si>
  <si>
    <t xml:space="preserve">100048129</t>
  </si>
  <si>
    <t xml:space="preserve">WASHER_LOCKING,DBL COIL,3/4 IN,GALV STL</t>
  </si>
  <si>
    <t xml:space="preserve">73232522; 73234686; 73240913; 73242557; 73279347; 73301547; 73802595</t>
  </si>
  <si>
    <t xml:space="preserve">100050858</t>
  </si>
  <si>
    <t xml:space="preserve">CLAMP_CABLE,MALLEABLE DI OR MI,0.16 IN-0</t>
  </si>
  <si>
    <t xml:space="preserve">100054802</t>
  </si>
  <si>
    <t xml:space="preserve">SWITCH_MANUAL,DISC,15KV,600 AMP,2 CNTCTS</t>
  </si>
  <si>
    <t xml:space="preserve">100064203</t>
  </si>
  <si>
    <t xml:space="preserve">NUT_SQUARE,3/4 IN,HOT GALV STL,10 TPI</t>
  </si>
  <si>
    <t xml:space="preserve">73234686; 73239926; 73242619; 73244139; 73279347; 73301547; 73301585</t>
  </si>
  <si>
    <t xml:space="preserve">100069293</t>
  </si>
  <si>
    <t xml:space="preserve">BOLT_MACHINE,3/4 IN DIA,10 TPI,16 IN LG,</t>
  </si>
  <si>
    <t xml:space="preserve">100071675</t>
  </si>
  <si>
    <t xml:space="preserve">LUG_CMPRSSN,TERMNL,4/0 AWG,TINNED CU,2-H</t>
  </si>
  <si>
    <t xml:space="preserve">100074517</t>
  </si>
  <si>
    <t xml:space="preserve">TIE_CABLE,NYLON,3/32 IN WD,5-1/4 IN LG,</t>
  </si>
  <si>
    <t xml:space="preserve">100074602</t>
  </si>
  <si>
    <t xml:space="preserve">ROD_ARMOR,ALUM ALLOY,56 IN LG,ACSR,3/0,6</t>
  </si>
  <si>
    <t xml:space="preserve">100088112</t>
  </si>
  <si>
    <t xml:space="preserve">BRACKET_MNTNG,SHEILD WIRE,MALLEABLE/DUCT</t>
  </si>
  <si>
    <t xml:space="preserve">100094898</t>
  </si>
  <si>
    <t xml:space="preserve">DEADEND_PREFORMED,GRIP,10 IN LG,STL,ALUM</t>
  </si>
  <si>
    <t xml:space="preserve">73234686; 73239926; 73240913; 73244139; 73301547; 73301585; 73305080</t>
  </si>
  <si>
    <t xml:space="preserve">100098979</t>
  </si>
  <si>
    <t xml:space="preserve">WASHER_LOCKING,REGULAR,7/8 IN OD,1/8 IN</t>
  </si>
  <si>
    <t xml:space="preserve">100099096</t>
  </si>
  <si>
    <t xml:space="preserve">CABLE_INSUL,WTHRPRF,45 MIL XLPE,2 AWG,SO</t>
  </si>
  <si>
    <t xml:space="preserve">73234686; 73239897; 73239926; 73242619; 73279347; 73301547; 73802595</t>
  </si>
  <si>
    <t xml:space="preserve">100099738</t>
  </si>
  <si>
    <t xml:space="preserve">3/4" X 10" Machine Bolt, Galv. Steel</t>
  </si>
  <si>
    <t xml:space="preserve">100101009</t>
  </si>
  <si>
    <t xml:space="preserve">SCREW_CAP,1/2 IN DIA,13 TPI,2 IN LG,CU S</t>
  </si>
  <si>
    <t xml:space="preserve">100103644</t>
  </si>
  <si>
    <t xml:space="preserve">SUPPORT_WIRE,DWNLEAD,18 IN,FBRGLAS ROD,5</t>
  </si>
  <si>
    <t xml:space="preserve">100105348</t>
  </si>
  <si>
    <t xml:space="preserve">CK_INSULATOR,SECNDRY,PORCLN SPOOLS,ANS</t>
  </si>
  <si>
    <t xml:space="preserve">73232522; 73234686; 73239916; 73240913; 73242619; 73244139; 73301547</t>
  </si>
  <si>
    <t xml:space="preserve">100108386</t>
  </si>
  <si>
    <t xml:space="preserve">CONNECTOR_CABLE,WDGE,ALUM,ACSR/ALUM/CU,6</t>
  </si>
  <si>
    <t xml:space="preserve">100289875</t>
  </si>
  <si>
    <t xml:space="preserve">POLE_WOOD,CEDAR,45 FT LG,CLASS 3</t>
  </si>
  <si>
    <t xml:space="preserve">73232522; 73239897; 73239916; 73239926; 73240913; 73242557; 73242619</t>
  </si>
  <si>
    <t xml:space="preserve">100322238</t>
  </si>
  <si>
    <t xml:space="preserve">INSULATOR_SUPPORT,DISTRBTN RISR,19.7 IN</t>
  </si>
  <si>
    <t xml:space="preserve">100057790</t>
  </si>
  <si>
    <t xml:space="preserve">INSULATOR_SPOOL,WET,PORCLN,3 IN HT,SKY G</t>
  </si>
  <si>
    <t xml:space="preserve">73239897; 73239916; 73240913; 73242619; 73244139; 73301547</t>
  </si>
  <si>
    <t xml:space="preserve">100069647</t>
  </si>
  <si>
    <t xml:space="preserve">WIRE_TIE,NO. 8,CU,45 IN LG</t>
  </si>
  <si>
    <t xml:space="preserve">73232522; 73234686; 73240913; 73279347; 73301547; 73301585</t>
  </si>
  <si>
    <t xml:space="preserve">100097490</t>
  </si>
  <si>
    <t xml:space="preserve">ANCHOR_SCREW,TD,10 IN,STL/IRON,1-3/8 IN</t>
  </si>
  <si>
    <t xml:space="preserve">73232522; 73239916; 73239926; 73240913; 73242557; 73242619</t>
  </si>
  <si>
    <t xml:space="preserve">100103235</t>
  </si>
  <si>
    <t xml:space="preserve">CONNECTOR_CABLE,WDGE,ALUM,ALUM,477KCMIL-</t>
  </si>
  <si>
    <t xml:space="preserve">73234686; 73240913; 73242557; 73244139; 73279347; 73802595</t>
  </si>
  <si>
    <t xml:space="preserve">100110238</t>
  </si>
  <si>
    <t xml:space="preserve">PIN_INSULATOR,LAG SCRW,5/8 IN,GALV STL,8</t>
  </si>
  <si>
    <t xml:space="preserve">100327860</t>
  </si>
  <si>
    <t xml:space="preserve">3/4" x 7 3/4" Steel Pin with Lock Washer and Nut</t>
  </si>
  <si>
    <t xml:space="preserve">73232522; 73239916; 73239926; 73242557; 73242619; 73244139</t>
  </si>
  <si>
    <t xml:space="preserve">100006750</t>
  </si>
  <si>
    <t xml:space="preserve">BOLT_MACHINE,5/8 IN DIA,11 TPI,8 IN LG,G</t>
  </si>
  <si>
    <t xml:space="preserve">73239897; 73239916; 73240913; 73242557; 73301585</t>
  </si>
  <si>
    <t xml:space="preserve">100012488</t>
  </si>
  <si>
    <t xml:space="preserve">CUTOUT_FUSED,OPN,POLYMER,15KV MAX,110KV</t>
  </si>
  <si>
    <t xml:space="preserve">73239897; 73239916; 73240913; 73301547; 73301585</t>
  </si>
  <si>
    <t xml:space="preserve">100025788</t>
  </si>
  <si>
    <t xml:space="preserve">POLE_WOOD, PINE, 50FT, CL3</t>
  </si>
  <si>
    <t xml:space="preserve">73234686; 73240913; 73242557; 73301547; 73301585</t>
  </si>
  <si>
    <t xml:space="preserve">100036858</t>
  </si>
  <si>
    <t xml:space="preserve">BRACKET_SUPPORT,TERMINATN/ARSTR</t>
  </si>
  <si>
    <t xml:space="preserve">73232522; 73234686; 73279347; 73301585; 73305080</t>
  </si>
  <si>
    <t xml:space="preserve">100042243</t>
  </si>
  <si>
    <t xml:space="preserve">POLE_WOOD, PINE, 60FT, CL 1</t>
  </si>
  <si>
    <t xml:space="preserve">73234686; 73240913; 73244139; 73305080; 73802595</t>
  </si>
  <si>
    <t xml:space="preserve">100052588</t>
  </si>
  <si>
    <t xml:space="preserve">CONNECTOR_CABLE,WDGE,ALUM,ACSR/ALUM,477K</t>
  </si>
  <si>
    <t xml:space="preserve">73232522; 73234686; 73242557; 73305080; 73802595</t>
  </si>
  <si>
    <t xml:space="preserve">100069509</t>
  </si>
  <si>
    <t xml:space="preserve">POLE_WOOD, PINE, 50FT, CL 1</t>
  </si>
  <si>
    <t xml:space="preserve">73239926; 73240913; 73242557; 73244139; 73301585</t>
  </si>
  <si>
    <t xml:space="preserve">100106838</t>
  </si>
  <si>
    <t xml:space="preserve">PIN_INSULATOR,ANGLE XARM BRAKET,HOT DIPP</t>
  </si>
  <si>
    <t xml:space="preserve">73232522; 73239897; 73239916; 73239926; 73240913</t>
  </si>
  <si>
    <t xml:space="preserve">100317909</t>
  </si>
  <si>
    <t xml:space="preserve">CONNECTOR_TAP,SECNDRY H-TAP,ALUM</t>
  </si>
  <si>
    <t xml:space="preserve">73232522; 73239897; 73239916; 73239926; 73242557</t>
  </si>
  <si>
    <t xml:space="preserve">100007836</t>
  </si>
  <si>
    <t xml:space="preserve">WIRE_TIE,NO. 8,CU,54 IN LG</t>
  </si>
  <si>
    <t xml:space="preserve">73240913; 73242557; 73244139; 73301547</t>
  </si>
  <si>
    <t xml:space="preserve">100019758</t>
  </si>
  <si>
    <t xml:space="preserve">NUT_SQUARE,5/8 IN,GALV STL,11 TPI</t>
  </si>
  <si>
    <t xml:space="preserve">73234686; 73239916; 73240913; 73301547</t>
  </si>
  <si>
    <t xml:space="preserve">100035087</t>
  </si>
  <si>
    <t xml:space="preserve">LINK_CHAIN,1 IN X 3-1/4 IN,GALV STL,5/8</t>
  </si>
  <si>
    <t xml:space="preserve">73239897; 73239926; 73240913; 73244139</t>
  </si>
  <si>
    <t xml:space="preserve">100039661</t>
  </si>
  <si>
    <t xml:space="preserve">BOLT_MACHINE,5/8 IN DIA,11 TPI,2 IN LG,G</t>
  </si>
  <si>
    <t xml:space="preserve">73232522; 73234686; 73240913; 73301547</t>
  </si>
  <si>
    <t xml:space="preserve">100039664</t>
  </si>
  <si>
    <t xml:space="preserve">WASHER_FLAT,3/4 IN ID,2 IN OD,WROUGHT ST</t>
  </si>
  <si>
    <t xml:space="preserve">73234686; 73240913; 73242557; 73802595</t>
  </si>
  <si>
    <t xml:space="preserve">100046669</t>
  </si>
  <si>
    <t xml:space="preserve">BOLT_MACHINE,5/8 IN DIA,11 TPI,4 IN LG,G</t>
  </si>
  <si>
    <t xml:space="preserve">100057912</t>
  </si>
  <si>
    <t xml:space="preserve">BOLT_MACHINE,3/4 IN DIA,10 TPI,14 IN LG,</t>
  </si>
  <si>
    <t xml:space="preserve">100062712</t>
  </si>
  <si>
    <t xml:space="preserve">Connector Wedge Al/Cu #6-1/0</t>
  </si>
  <si>
    <t xml:space="preserve">73239916; 73240913; 73301547; 73301585</t>
  </si>
  <si>
    <t xml:space="preserve">100065179</t>
  </si>
  <si>
    <t xml:space="preserve">MOUNT_TRNSCST,VEE,GALV STL,3 TRANSFRMRS,</t>
  </si>
  <si>
    <t xml:space="preserve">100094846</t>
  </si>
  <si>
    <t xml:space="preserve">SCREW_LAG,3/8 IN DIA,4 IN LG,HOT DIP GAL</t>
  </si>
  <si>
    <t xml:space="preserve">73239897; 73239916; 73242557; 73301585</t>
  </si>
  <si>
    <t xml:space="preserve">100311653</t>
  </si>
  <si>
    <t xml:space="preserve">CONNECTOR_TAP,WDGE,ALUM ALLOY</t>
  </si>
  <si>
    <t xml:space="preserve">73234686; 73301547; 73358165; 73802595</t>
  </si>
  <si>
    <t xml:space="preserve">100313938</t>
  </si>
  <si>
    <t xml:space="preserve">POLE_WOOD,CEDAR,40 FT LG,CLASS 3</t>
  </si>
  <si>
    <t xml:space="preserve">73232522; 73239897; 73240913; 73242557</t>
  </si>
  <si>
    <t xml:space="preserve">100018203</t>
  </si>
  <si>
    <t xml:space="preserve">POLE_WOOD, PINE, 40FT, CL 3</t>
  </si>
  <si>
    <t xml:space="preserve">73239926; 73242557; 73244139</t>
  </si>
  <si>
    <t xml:space="preserve">100027618</t>
  </si>
  <si>
    <t xml:space="preserve">CABLE_BARE,3/0 AWG,6 X 1 STRANDD,7670 FT</t>
  </si>
  <si>
    <t xml:space="preserve">73240913; 73301585; 73305080</t>
  </si>
  <si>
    <t xml:space="preserve">100032501</t>
  </si>
  <si>
    <t xml:space="preserve">CABLE_INSUL,TRIPLEX,60 MIL HMPE,1/0 AWG,</t>
  </si>
  <si>
    <t xml:space="preserve">73239916; 73240913; 73301547</t>
  </si>
  <si>
    <t xml:space="preserve">100047695</t>
  </si>
  <si>
    <t xml:space="preserve">PIN_INSULATOR,HD,3/4 IN X 7 IN,GALV STL,</t>
  </si>
  <si>
    <t xml:space="preserve">100053167</t>
  </si>
  <si>
    <t xml:space="preserve">CLAMP_DEADEND,STRGHT LINE,MALLEABLE/DUCT</t>
  </si>
  <si>
    <t xml:space="preserve">73242557; 73244139; 73802595</t>
  </si>
  <si>
    <t xml:space="preserve">100056177</t>
  </si>
  <si>
    <t xml:space="preserve">CABLE_BARE,6 AWG,CU,SOLID,10000 FT LG,AS</t>
  </si>
  <si>
    <t xml:space="preserve">73279347; 73301547; 73301585</t>
  </si>
  <si>
    <t xml:space="preserve">100061029</t>
  </si>
  <si>
    <t xml:space="preserve">POLE_WOOD, PINE, 45FT, CL 1</t>
  </si>
  <si>
    <t xml:space="preserve">73232522; 73234686; 73242619</t>
  </si>
  <si>
    <t xml:space="preserve">100076569</t>
  </si>
  <si>
    <t xml:space="preserve">BOLT_MACHINE,3/4 IN DIA,10 TPI,12 IN LG,</t>
  </si>
  <si>
    <t xml:space="preserve">73234686; 73242557; 73802595</t>
  </si>
  <si>
    <t xml:space="preserve">100086522</t>
  </si>
  <si>
    <t xml:space="preserve">FITTING_SIDWLK,DUCTILE IRON</t>
  </si>
  <si>
    <t xml:space="preserve">73234686; 73239926; 73240913</t>
  </si>
  <si>
    <t xml:space="preserve">100093755</t>
  </si>
  <si>
    <t xml:space="preserve">CABLE_INSUL,POWR,60 MIL XLPE,1/0 AWG,6 X</t>
  </si>
  <si>
    <t xml:space="preserve">73242557; 73244139; 73358165</t>
  </si>
  <si>
    <t xml:space="preserve">100107159</t>
  </si>
  <si>
    <t xml:space="preserve">POLE_WOOD, PINE, 55FT, CL 3</t>
  </si>
  <si>
    <t xml:space="preserve">73234686; 73240913; 73305080</t>
  </si>
  <si>
    <t xml:space="preserve">100289876</t>
  </si>
  <si>
    <t xml:space="preserve">POLE_WOOD,CEDAR,45 FT LG,CLASS 1</t>
  </si>
  <si>
    <t xml:space="preserve">73232522; 73239916; 73239926</t>
  </si>
  <si>
    <t xml:space="preserve">100302982</t>
  </si>
  <si>
    <t xml:space="preserve">BRACKET_MNTNG,POLETOP VRTCL,1-PHAS LP IN</t>
  </si>
  <si>
    <t xml:space="preserve">73232522; 73242619; 73301547</t>
  </si>
  <si>
    <t xml:space="preserve">100001517</t>
  </si>
  <si>
    <t xml:space="preserve">LINK_FUSE,UNV,10 AMP</t>
  </si>
  <si>
    <t xml:space="preserve">73232522; 73301585</t>
  </si>
  <si>
    <t xml:space="preserve">100007567</t>
  </si>
  <si>
    <t xml:space="preserve">CONNECTOR_OVERHEAD,FIRED ON,1/0 AWG,ALUM</t>
  </si>
  <si>
    <t xml:space="preserve">73242557; 73244139</t>
  </si>
  <si>
    <t xml:space="preserve">100013784</t>
  </si>
  <si>
    <t xml:space="preserve">INSULATOR_STRAIN,GUY,30 IN LG,FBRGLAS 24</t>
  </si>
  <si>
    <t xml:space="preserve">73239926; 73305080</t>
  </si>
  <si>
    <t xml:space="preserve">100017509</t>
  </si>
  <si>
    <t xml:space="preserve">LEAD_ELECT,SECNDRY,12 FT LG,CU,4/0 AWG</t>
  </si>
  <si>
    <t xml:space="preserve">73234686; 73242557</t>
  </si>
  <si>
    <t xml:space="preserve">100022671</t>
  </si>
  <si>
    <t xml:space="preserve">LINK_FUSE,UNV,20 AMP</t>
  </si>
  <si>
    <t xml:space="preserve">73232522; 73239897</t>
  </si>
  <si>
    <t xml:space="preserve">100024362</t>
  </si>
  <si>
    <t xml:space="preserve">POLE_WOOD, PINE, 50FT, CL 2</t>
  </si>
  <si>
    <t xml:space="preserve">73234686; 73240913</t>
  </si>
  <si>
    <t xml:space="preserve">100024531</t>
  </si>
  <si>
    <t xml:space="preserve">CONNECTOR_CABLE,PARRELL,ALUM,ACSR/ALUM,N</t>
  </si>
  <si>
    <t xml:space="preserve">73240913; 73244139</t>
  </si>
  <si>
    <t xml:space="preserve">100027126</t>
  </si>
  <si>
    <t xml:space="preserve">CLEVIS_STRN_INSUL,SECNDRY SRVC,PORCLN,1-</t>
  </si>
  <si>
    <t xml:space="preserve">73239926; 73301547</t>
  </si>
  <si>
    <t xml:space="preserve">100038866</t>
  </si>
  <si>
    <t xml:space="preserve">RACK_INSULATOR,SECNDRY,PORCLN SPOOLS,ANS</t>
  </si>
  <si>
    <t xml:space="preserve">100038906</t>
  </si>
  <si>
    <t xml:space="preserve">GUY_ASSY,5/16 IN DIA,165 FT LG,EHS STL S</t>
  </si>
  <si>
    <t xml:space="preserve">73232522; 73244139</t>
  </si>
  <si>
    <t xml:space="preserve">100042507</t>
  </si>
  <si>
    <t xml:space="preserve">Bracket_mntng shield wire</t>
  </si>
  <si>
    <t xml:space="preserve">100043112</t>
  </si>
  <si>
    <t xml:space="preserve">CABLE_INSUL,XLPE,1/0 AWG,CU,7 STRANDD,1</t>
  </si>
  <si>
    <t xml:space="preserve">73239926; 73244139</t>
  </si>
  <si>
    <t xml:space="preserve">100055729</t>
  </si>
  <si>
    <t xml:space="preserve">CONNECTOR_CABLE,BARTAP,TINNED BRNZ,NO.6-</t>
  </si>
  <si>
    <t xml:space="preserve">73234686; 73239897</t>
  </si>
  <si>
    <t xml:space="preserve">100058551</t>
  </si>
  <si>
    <t xml:space="preserve">73358165; 73802595</t>
  </si>
  <si>
    <t xml:space="preserve">100064127</t>
  </si>
  <si>
    <t xml:space="preserve">LEAD_ELECT,SECNDRY,12 FT LG,ALUM, HARD D</t>
  </si>
  <si>
    <t xml:space="preserve">100065871</t>
  </si>
  <si>
    <t xml:space="preserve">CABLE_INSUL,60 MIL PE,1/0 AWG,HARD DRAWN</t>
  </si>
  <si>
    <t xml:space="preserve">100077194</t>
  </si>
  <si>
    <t xml:space="preserve">clamp susp 1/0</t>
  </si>
  <si>
    <t xml:space="preserve">100079513</t>
  </si>
  <si>
    <t xml:space="preserve">NAIL_FASTENER,BARB,3/8 IN,2 IN LG,GALV S</t>
  </si>
  <si>
    <t xml:space="preserve">73232522; 73240913</t>
  </si>
  <si>
    <t xml:space="preserve">100084565</t>
  </si>
  <si>
    <t xml:space="preserve">CONNECTOR_CABLE,WDGE,ALUM,ACSR/ALUM/CU,1</t>
  </si>
  <si>
    <t xml:space="preserve">73234686; 73301585</t>
  </si>
  <si>
    <t xml:space="preserve">100089217</t>
  </si>
  <si>
    <t xml:space="preserve">CROSSARM_ASSY,TANGNT WITH CENTR BRKT,4 F</t>
  </si>
  <si>
    <t xml:space="preserve">100104417</t>
  </si>
  <si>
    <t xml:space="preserve">PIN_INSULATOR,XARM,5/8 IN X 6-1/2 IN,GAL</t>
  </si>
  <si>
    <t xml:space="preserve">73239926; 73802595</t>
  </si>
  <si>
    <t xml:space="preserve">100104745</t>
  </si>
  <si>
    <t xml:space="preserve">LINK_FUSE,UNV,25 AMP</t>
  </si>
  <si>
    <t xml:space="preserve">73239897; 73802595</t>
  </si>
  <si>
    <t xml:space="preserve">100106252</t>
  </si>
  <si>
    <t xml:space="preserve">BRACE_SUPPORT,SIDWLK GUY,ZINC COATED STL</t>
  </si>
  <si>
    <t xml:space="preserve">73234686; 73239926</t>
  </si>
  <si>
    <t xml:space="preserve">100113829</t>
  </si>
  <si>
    <t xml:space="preserve">BOLT_EYE,5/8 IN DIA,11 TPI,10 IN LG,GALV</t>
  </si>
  <si>
    <t xml:space="preserve">100308950</t>
  </si>
  <si>
    <t xml:space="preserve">CONNECTOR_CABLE,GRND,NO. 6 SOLID TO 1/0</t>
  </si>
  <si>
    <t xml:space="preserve">100341161</t>
  </si>
  <si>
    <t xml:space="preserve">POLE_WOOD,CEDAR,45 FT LG,CLASS 2</t>
  </si>
  <si>
    <t xml:space="preserve">73239897; 73239916</t>
  </si>
  <si>
    <t xml:space="preserve">300014323</t>
  </si>
  <si>
    <t xml:space="preserve">100004957</t>
  </si>
  <si>
    <t xml:space="preserve">BASE_MNTNG,SIGN,10 IN WD,WOOD,8 IN LG</t>
  </si>
  <si>
    <t xml:space="preserve">100005379</t>
  </si>
  <si>
    <t xml:space="preserve">SIGN_WARNING,PLSTC,BLK/WHITE,SCRWED</t>
  </si>
  <si>
    <t xml:space="preserve">100010817</t>
  </si>
  <si>
    <t xml:space="preserve">CONNECTOR_OVERHEAD,FIRED ON,NO. 2-556.5</t>
  </si>
  <si>
    <t xml:space="preserve">100017083</t>
  </si>
  <si>
    <t xml:space="preserve">5/8" ground rod connector</t>
  </si>
  <si>
    <t xml:space="preserve">100024354</t>
  </si>
  <si>
    <t xml:space="preserve">5/8" x 16 LG Machine Bolt</t>
  </si>
  <si>
    <t xml:space="preserve">100024784</t>
  </si>
  <si>
    <t xml:space="preserve">MOUNT_TRNSCST,GALV STL,3 TRANSFRMRS,5/8</t>
  </si>
  <si>
    <t xml:space="preserve">100030339</t>
  </si>
  <si>
    <t xml:space="preserve">CABLE_INSUL,XLPE,1/0 AWG,ALUM,7 STRANDD</t>
  </si>
  <si>
    <t xml:space="preserve">100030941</t>
  </si>
  <si>
    <t xml:space="preserve">LINK_FUSE,UNV,40 AMP</t>
  </si>
  <si>
    <t xml:space="preserve">100031258</t>
  </si>
  <si>
    <t xml:space="preserve">PLATE_ADAPTER,MOUNTNG</t>
  </si>
  <si>
    <t xml:space="preserve">100033974</t>
  </si>
  <si>
    <t xml:space="preserve">LINK_FUSE,UNV,65 AMP</t>
  </si>
  <si>
    <t xml:space="preserve">100035985</t>
  </si>
  <si>
    <t xml:space="preserve">40kV Suspension Deadend Insulator</t>
  </si>
  <si>
    <t xml:space="preserve">100037863</t>
  </si>
  <si>
    <t xml:space="preserve">BOLT_MACHINE,5/8 IN DIA,11 TPI,30 IN LG,</t>
  </si>
  <si>
    <t xml:space="preserve">100040596</t>
  </si>
  <si>
    <t xml:space="preserve">CONNECTOR_CABLE,TAP,BRNZ,CU,4/0 AWG,2-HO</t>
  </si>
  <si>
    <t xml:space="preserve">100042239</t>
  </si>
  <si>
    <t xml:space="preserve">POLE_WOOD, PINE, 35FT, CL2</t>
  </si>
  <si>
    <t xml:space="preserve">100042925</t>
  </si>
  <si>
    <t xml:space="preserve">FUSE_CURRNT_LIMIT,FAULT TAMER,15KV,10T A</t>
  </si>
  <si>
    <t xml:space="preserve">100044155</t>
  </si>
  <si>
    <t xml:space="preserve">TUBE_ELECT,FUSE,4-1/2 IN OD,23 IN LG,PVC</t>
  </si>
  <si>
    <t xml:space="preserve">100047463</t>
  </si>
  <si>
    <t xml:space="preserve">CONNECTOR_OVERHEAD,BOLTED, 1/0-4/0 AWG,BR</t>
  </si>
  <si>
    <t xml:space="preserve">100049677</t>
  </si>
  <si>
    <t xml:space="preserve">PADLOCK_ASSY,1-1/2 IN CASE</t>
  </si>
  <si>
    <t xml:space="preserve">100050811</t>
  </si>
  <si>
    <t xml:space="preserve">TAG_IDNT,PP,2-1/2 IN WD,3-1/2 IN LG,BLK/</t>
  </si>
  <si>
    <t xml:space="preserve">100056487</t>
  </si>
  <si>
    <t xml:space="preserve">CABLE_BARE,1/0 AWG,CU,7 STRAND,ASTM B8/A</t>
  </si>
  <si>
    <t xml:space="preserve">100057791</t>
  </si>
  <si>
    <t xml:space="preserve">100058033</t>
  </si>
  <si>
    <t xml:space="preserve">100070266</t>
  </si>
  <si>
    <t xml:space="preserve">ROD_ANCHOR,EXT,1-1/2 IN DIA,GALV STL,5 F</t>
  </si>
  <si>
    <t xml:space="preserve">100071576</t>
  </si>
  <si>
    <t xml:space="preserve">CONNECTOR_CABLE,WDGE,ALUM,ACSR/ALUM,2 AC</t>
  </si>
  <si>
    <t xml:space="preserve">100072154</t>
  </si>
  <si>
    <t xml:space="preserve">SCREW_LAG, 1/4 IN DIA,2 IN LG,GALV STL,HE</t>
  </si>
  <si>
    <t xml:space="preserve">100073619</t>
  </si>
  <si>
    <t xml:space="preserve">BOLT_EYE,5/8 IN DIA,11 TPI,14 INLG,GALV</t>
  </si>
  <si>
    <t xml:space="preserve">100073793</t>
  </si>
  <si>
    <t xml:space="preserve">GUARD_PROTCT,U CABLE,2-1/4 IN WD,PLSTC,6</t>
  </si>
  <si>
    <t xml:space="preserve">100074003</t>
  </si>
  <si>
    <t xml:space="preserve">POLE_WOOD, PINE, 65FT, CL 2</t>
  </si>
  <si>
    <t xml:space="preserve">100078799</t>
  </si>
  <si>
    <t xml:space="preserve">100084202</t>
  </si>
  <si>
    <t xml:space="preserve">BOLT_MACHINE,3/8 IN DIA,16 TPI,10 IN LG,</t>
  </si>
  <si>
    <t xml:space="preserve">100088375</t>
  </si>
  <si>
    <t xml:space="preserve">RACK_INSULATOR,SUSPN,8 IN WIRE SPACING</t>
  </si>
  <si>
    <t xml:space="preserve">100089247</t>
  </si>
  <si>
    <t xml:space="preserve">BOLT_MACHINE,5/8 IN DIA,11 TPI,34 IN LG,</t>
  </si>
  <si>
    <t xml:space="preserve">100095014</t>
  </si>
  <si>
    <t xml:space="preserve">100097570</t>
  </si>
  <si>
    <t xml:space="preserve">Insulator_Strain, Deadend, 3" Spool, Porc</t>
  </si>
  <si>
    <t xml:space="preserve">100097571</t>
  </si>
  <si>
    <t xml:space="preserve">INSULATOR_STRAIN,DEADEND,3 IN SPOOL,PORC.</t>
  </si>
  <si>
    <t xml:space="preserve">100097596</t>
  </si>
  <si>
    <t xml:space="preserve">Insulator_Spool</t>
  </si>
  <si>
    <t xml:space="preserve">100098069</t>
  </si>
  <si>
    <t xml:space="preserve">CONNECTOR_CABLE,WDGE,ALUM,ACSR/ALUM/CU,N</t>
  </si>
  <si>
    <t xml:space="preserve">100101973</t>
  </si>
  <si>
    <t xml:space="preserve">SIGN_WARNING,WHITE/YELW,480 VOLT,SCRWED</t>
  </si>
  <si>
    <t xml:space="preserve">100108945</t>
  </si>
  <si>
    <t xml:space="preserve">INSULATOR_STRAIN,GUY,LARGE,PORCLN,SKY,5/</t>
  </si>
  <si>
    <t xml:space="preserve">100110298</t>
  </si>
  <si>
    <t xml:space="preserve">INDICATOR_FAULT,4.8-41.6KV,200 AMP,CURRN</t>
  </si>
  <si>
    <t xml:space="preserve">100111213</t>
  </si>
  <si>
    <t xml:space="preserve">SCREW_LAG,1/4 IN DIA,2-1/2 IN LG,GALV ST</t>
  </si>
  <si>
    <t xml:space="preserve">100111680</t>
  </si>
  <si>
    <t xml:space="preserve">CABLE_INSUL,XLPE,3/0 AWG,ALUM,19 STRANDD</t>
  </si>
  <si>
    <t xml:space="preserve">100116153</t>
  </si>
  <si>
    <t xml:space="preserve">CONNECTOR_CABLE,WDGE,ALUM,ACSR/ALUM,NO.1</t>
  </si>
  <si>
    <t xml:space="preserve">100289874</t>
  </si>
  <si>
    <t xml:space="preserve">POLE_WOOD,CEDAR,50 FT LG,CL 3,BUTT PRESE</t>
  </si>
  <si>
    <t xml:space="preserve">100301538</t>
  </si>
  <si>
    <t xml:space="preserve">CABLE_INSUL,TRIPLEX,XLPE,4/0 AWG,ALUM,19</t>
  </si>
  <si>
    <t xml:space="preserve">100302469</t>
  </si>
  <si>
    <t xml:space="preserve">ENCLOSURE_ELECT,JUNCTION BOX,8 IN WD,8 I</t>
  </si>
  <si>
    <t xml:space="preserve">100302470</t>
  </si>
  <si>
    <t xml:space="preserve">100302471</t>
  </si>
  <si>
    <t xml:space="preserve">CONTROL_CAPACITOR,OH CAPCTR CNTRL,13.8V,</t>
  </si>
  <si>
    <t xml:space="preserve">100303361</t>
  </si>
  <si>
    <t xml:space="preserve">100310066</t>
  </si>
  <si>
    <t xml:space="preserve">STRAP_GROUND,C-CLAMP,1.08 X 0.50 IN,STL,</t>
  </si>
  <si>
    <t xml:space="preserve">100316436</t>
  </si>
  <si>
    <t xml:space="preserve">BRACKET_SUPPORT,CONDUIT STNDOFF,9 IN X 2</t>
  </si>
  <si>
    <t xml:space="preserve">100316438</t>
  </si>
  <si>
    <t xml:space="preserve">STRAP_CONDUIT,KIT,4 IN</t>
  </si>
  <si>
    <t xml:space="preserve">100317530</t>
  </si>
  <si>
    <t xml:space="preserve">EXTENSION_POLE_TOP,60 IN LG,FBRGLAS</t>
  </si>
  <si>
    <t xml:space="preserve">100318537</t>
  </si>
  <si>
    <t xml:space="preserve">CONDUIT_RIGID,PVC,4 IN DIA,10 FT LG</t>
  </si>
  <si>
    <t xml:space="preserve">100326132</t>
  </si>
  <si>
    <t xml:space="preserve">COVER_PROTCT,ANIMAL CONDUCTOR COVER,SILC</t>
  </si>
  <si>
    <t xml:space="preserve">100332478</t>
  </si>
  <si>
    <t xml:space="preserve">SENSOR_CURRNT,LINE POST</t>
  </si>
  <si>
    <t xml:space="preserve">100332479</t>
  </si>
  <si>
    <t xml:space="preserve">SENSOR_ACCESSORY,NEUTRAL</t>
  </si>
  <si>
    <t xml:space="preserve">100335234</t>
  </si>
  <si>
    <t xml:space="preserve">STIRRUP_HYDRANT,DISC,4-5/8 X 4-5/8 X 2-5</t>
  </si>
  <si>
    <t xml:space="preserve">100336218</t>
  </si>
  <si>
    <t xml:space="preserve">40kV Extension Link</t>
  </si>
  <si>
    <t xml:space="preserve">100336386</t>
  </si>
  <si>
    <t xml:space="preserve">CABLE_CNTRL,POWR AND CNTRL</t>
  </si>
  <si>
    <t xml:space="preserve">100336388</t>
  </si>
  <si>
    <t xml:space="preserve">100342373</t>
  </si>
  <si>
    <t xml:space="preserve">POLE_WOOD,PINE,45 FT LG,CLASS 2</t>
  </si>
  <si>
    <t xml:space="preserve">100352548</t>
  </si>
  <si>
    <t xml:space="preserve">CAP_END,BUMP,1.24 IN X 1.165 IN,PLSTC/RU</t>
  </si>
  <si>
    <t xml:space="preserve">300014317</t>
  </si>
  <si>
    <t xml:space="preserve">REGULATOR_VLTG,BI-DIRECTIONAL STEP,4800/</t>
  </si>
  <si>
    <t xml:space="preserve">300014341</t>
  </si>
  <si>
    <t xml:space="preserve">TRANSFORMER_DISTR,ISOLATION/OIL FILLED/P</t>
  </si>
  <si>
    <t xml:space="preserve">Line items:</t>
  </si>
  <si>
    <t xml:space="preserve">Overhead Material Quantities by CWO and DTE IM</t>
  </si>
  <si>
    <t xml:space="preserve">Each row is one DTE IM within one contributing CWO. Same sources and exclusions as the program-wide tab.</t>
  </si>
  <si>
    <t xml:space="preserve">Materials Pending DTE IM Confirmation</t>
  </si>
  <si>
    <t xml:space="preserve">These materials appear in construction BOMs or supplier order records without a confirmed DTE IM number. The closest candidate IM from DTE’s item master is proposed where one exists. DTE is requested to confirm or correct the IM assignment in the yellow column; quantities shown are excluded from the confirmed-IM tabs until then.</t>
  </si>
  <si>
    <t xml:space="preserve">Ordered Qty (unresolved)</t>
  </si>
  <si>
    <t xml:space="preserve">Proposed DTE IM (candidate)</t>
  </si>
  <si>
    <t xml:space="preserve">Match Confidence</t>
  </si>
  <si>
    <t xml:space="preserve">DTE Confirmed IM / Response</t>
  </si>
  <si>
    <t xml:space="preserve">Ground Wire Molding</t>
  </si>
  <si>
    <t xml:space="preserve">MEDIUM DESCRIPTION; similarity 53%</t>
  </si>
  <si>
    <t xml:space="preserve">73232522; 73234686; 73239897; 73239916; 73239926; 73240913; 73242557; 73242619; 73244139; 73301547; 73301585; 73305080; 73358165</t>
  </si>
  <si>
    <t xml:space="preserve">Ground Wire Staples</t>
  </si>
  <si>
    <t xml:space="preserve">VERY LOW DESCRIPTION; similarity 0%</t>
  </si>
  <si>
    <t xml:space="preserve">Molding Staples</t>
  </si>
  <si>
    <t xml:space="preserve">45' CLASS 3 PINE</t>
  </si>
  <si>
    <t xml:space="preserve">LOW DESCRIPTION; similarity 43%</t>
  </si>
  <si>
    <t xml:space="preserve">7/16" Guy Wire, Rope Wire</t>
  </si>
  <si>
    <t xml:space="preserve">MEDIUM DESCRIPTION; similarity 68%</t>
  </si>
  <si>
    <t xml:space="preserve">73232522; 73239926; 73240913; 73242557; 73242619; 73301547; 73301585; 73305080; 73802595</t>
  </si>
  <si>
    <t xml:space="preserve">#6 AWG Stranded Bare Copper Wire</t>
  </si>
  <si>
    <t xml:space="preserve">LOW; similarity 42%</t>
  </si>
  <si>
    <t xml:space="preserve">73232522; 73239897; 73239926; 73242557; 73242619; 73244139; 73305080; 73358165</t>
  </si>
  <si>
    <t xml:space="preserve">Crimipit, #6 AWG to #6 AWG</t>
  </si>
  <si>
    <t xml:space="preserve">LOW; similarity 40%</t>
  </si>
  <si>
    <t xml:space="preserve">Wire #2 Cu Sol Bare SD 2500ft reels</t>
  </si>
  <si>
    <t xml:space="preserve">LOW; similarity 32%</t>
  </si>
  <si>
    <t xml:space="preserve">73234686; 73239916; 73240913; 73279347; 73301547; 73301585; 73802595</t>
  </si>
  <si>
    <t xml:space="preserve">45' CLASS 3 CEDAR</t>
  </si>
  <si>
    <t xml:space="preserve">HIGH; similarity 85%</t>
  </si>
  <si>
    <t xml:space="preserve">5/16" Guy Wire, Rope Wire</t>
  </si>
  <si>
    <t xml:space="preserve">MEDIUM DESCRIPTION; similarity 66%</t>
  </si>
  <si>
    <t xml:space="preserve">73232522; 73239926; 73240913; 73242557; 73242619; 73244139</t>
  </si>
  <si>
    <t xml:space="preserve">Crimipit, 2 AWG to 2 AWG</t>
  </si>
  <si>
    <t xml:space="preserve">73234686; 73239916; 73240913; 73301547; 73301585</t>
  </si>
  <si>
    <t xml:space="preserve">55' CLASS 1 PINE</t>
  </si>
  <si>
    <t xml:space="preserve">73234686; 73239926; 73240913; 73244139; 73305080</t>
  </si>
  <si>
    <t xml:space="preserve">60' CLASS 1 PINE</t>
  </si>
  <si>
    <t xml:space="preserve">2 AWG Stranded Bare Copper Wire</t>
  </si>
  <si>
    <t xml:space="preserve">LOW DESCRIPTION; similarity 42%</t>
  </si>
  <si>
    <t xml:space="preserve">73234686; 73239916; 73240913; 73301585</t>
  </si>
  <si>
    <t xml:space="preserve">5/8" Lock Nut</t>
  </si>
  <si>
    <t xml:space="preserve">MEDIUM; similarity 64%</t>
  </si>
  <si>
    <t xml:space="preserve">73232522; 73239897; 73242619; 73305080</t>
  </si>
  <si>
    <t xml:space="preserve">5/8" x 16" Machine Bolt, Galvanized Steel</t>
  </si>
  <si>
    <t xml:space="preserve">HIGH; similarity 80%</t>
  </si>
  <si>
    <t xml:space="preserve">73232522; 73239897; 73242557; 73242619</t>
  </si>
  <si>
    <t xml:space="preserve">50' CLASS 1 PINE</t>
  </si>
  <si>
    <t xml:space="preserve">73234686; 73239926; 73242557; 73301585</t>
  </si>
  <si>
    <t xml:space="preserve">50' CLASS 3 PINE</t>
  </si>
  <si>
    <t xml:space="preserve">VERY LOW DESCRIPTION; similarity 21%</t>
  </si>
  <si>
    <t xml:space="preserve">73234686; 73240913; 73242557; 73301585</t>
  </si>
  <si>
    <t xml:space="preserve">Washer Square 2x2 1/2</t>
  </si>
  <si>
    <t xml:space="preserve">MEDIUM; similarity 67%</t>
  </si>
  <si>
    <t xml:space="preserve">73240913; 73242557; 73301547; 73301585</t>
  </si>
  <si>
    <t xml:space="preserve">7/16" Guy Grip</t>
  </si>
  <si>
    <t xml:space="preserve">LOW; similarity 41%</t>
  </si>
  <si>
    <t xml:space="preserve">73232522; 73239897; 73305080</t>
  </si>
  <si>
    <t xml:space="preserve">Armor Rod Alum. Alloy</t>
  </si>
  <si>
    <t xml:space="preserve">HIGH DESCRIPTION; similarity 81%</t>
  </si>
  <si>
    <t xml:space="preserve">73234686; 73242557; 73301585</t>
  </si>
  <si>
    <t xml:space="preserve">Straight Line Deadend Clamp</t>
  </si>
  <si>
    <t xml:space="preserve">HIGH DESCRIPTION; similarity 87%</t>
  </si>
  <si>
    <t xml:space="preserve">73234686; 73301547; 73301585</t>
  </si>
  <si>
    <t xml:space="preserve">45' Class 1 CEDAR</t>
  </si>
  <si>
    <t xml:space="preserve">55' CLASS 3 PINE</t>
  </si>
  <si>
    <t xml:space="preserve">73240913; 73305080</t>
  </si>
  <si>
    <t xml:space="preserve">Machine Bolt, Galv. Steel</t>
  </si>
  <si>
    <t xml:space="preserve">73232522; 73802595</t>
  </si>
  <si>
    <t xml:space="preserve">5/16" Guy Grip</t>
  </si>
  <si>
    <t xml:space="preserve">MEDIUM; similarity 59%</t>
  </si>
  <si>
    <t xml:space="preserve">Single Phase Fiberglass Mounting Bracket</t>
  </si>
  <si>
    <t xml:space="preserve">VERY LOW DESCRIPTION; similarity 16%</t>
  </si>
  <si>
    <t xml:space="preserve">73232522; 73242557</t>
  </si>
  <si>
    <t xml:space="preserve">Bracket Mounting, Shield Wire, Malleable/Duct</t>
  </si>
  <si>
    <t xml:space="preserve">MEDIUM DESCRIPTION; similarity 62%</t>
  </si>
  <si>
    <t xml:space="preserve">40' CLASS 3 CEDAR</t>
  </si>
  <si>
    <t xml:space="preserve">73240913; 73242557</t>
  </si>
  <si>
    <t xml:space="preserve">40' CLASS 3 PINE</t>
  </si>
  <si>
    <t xml:space="preserve">45' CLASS 1 PINE</t>
  </si>
  <si>
    <t xml:space="preserve">73234686; 73242619</t>
  </si>
  <si>
    <t xml:space="preserve">50' CLASS 2 PINE</t>
  </si>
  <si>
    <t xml:space="preserve">1/0 AWG Bare</t>
  </si>
  <si>
    <t xml:space="preserve">HIGH DESCRIPTION; similarity 82%</t>
  </si>
  <si>
    <t xml:space="preserve">2 Awg BARE</t>
  </si>
  <si>
    <t xml:space="preserve">HIGH DESCRIPTION; similarity 79%</t>
  </si>
  <si>
    <t xml:space="preserve">2 AWG Bare Copper</t>
  </si>
  <si>
    <t xml:space="preserve">MEDIUM DESCRIPTION; similarity 61%</t>
  </si>
  <si>
    <t xml:space="preserve">2AWG Stranded Bare Copper Wire</t>
  </si>
  <si>
    <t xml:space="preserve">3/0 to 3/0 crimpit</t>
  </si>
  <si>
    <t xml:space="preserve">40 CLASS 3 CEDAR</t>
  </si>
  <si>
    <t xml:space="preserve">5/8" Eye Bolt and Nut x 26"</t>
  </si>
  <si>
    <t xml:space="preserve">MEDIUM; similarity 51%</t>
  </si>
  <si>
    <t xml:space="preserve">5/8" Ground Clamp</t>
  </si>
  <si>
    <t xml:space="preserve">MEDIUM; similarity 68%</t>
  </si>
  <si>
    <t xml:space="preserve">5/8" Lock Nut SQ.</t>
  </si>
  <si>
    <t xml:space="preserve">MEDIUM; similarity 52%</t>
  </si>
  <si>
    <t xml:space="preserve">5/8" X 10" Machine Bolt, Galv. Steel</t>
  </si>
  <si>
    <t xml:space="preserve">HIGH; similarity 70%</t>
  </si>
  <si>
    <t xml:space="preserve">5/8" x 14" Machine Bolt &amp; Nut, Galvanized Steel</t>
  </si>
  <si>
    <t xml:space="preserve">LOW DESCRIPTION; similarity 50%</t>
  </si>
  <si>
    <t xml:space="preserve">55 CLASS 1 PINE</t>
  </si>
  <si>
    <t xml:space="preserve">LOW; similarity 43%</t>
  </si>
  <si>
    <t xml:space="preserve">55' CLASS H1 PINE</t>
  </si>
  <si>
    <t xml:space="preserve">636 to 636 crimpit</t>
  </si>
  <si>
    <t xml:space="preserve">VERY LOW; similarity 26%</t>
  </si>
  <si>
    <t xml:space="preserve">Attachment_mntg, cleats</t>
  </si>
  <si>
    <t xml:space="preserve">MEDIUM; similarity 53%</t>
  </si>
  <si>
    <t xml:space="preserve">parallel groove connector 636 AA to 636 AA</t>
  </si>
  <si>
    <t xml:space="preserve">VERY LOW; similarity 28%</t>
  </si>
  <si>
    <t xml:space="preserve">P to P fiberglass mounting bracket</t>
  </si>
  <si>
    <t xml:space="preserve">LOW; similarity 44%</t>
  </si>
  <si>
    <t xml:space="preserve">Phase to Phase Fiberglass Mounting Bracket</t>
  </si>
  <si>
    <t xml:space="preserve">Three Phase Fiberglass Mounting Bracket</t>
  </si>
  <si>
    <t xml:space="preserve">Insulator Guy Strain 18in 36K</t>
  </si>
  <si>
    <t xml:space="preserve">MEDIUM; similarity 57%</t>
  </si>
  <si>
    <t xml:space="preserve">Extension pole top fiberglass 54</t>
  </si>
  <si>
    <t xml:space="preserve">Bolt Oval Eye 5/8in x 16in with (1) square nut assembled</t>
  </si>
  <si>
    <t xml:space="preserve">LOW; similarity 36%</t>
  </si>
  <si>
    <t xml:space="preserve">Washer Lock Galv 7/8in</t>
  </si>
  <si>
    <t xml:space="preserve">LOW; similarity 49%</t>
  </si>
  <si>
    <t xml:space="preserve">5/8" Machine Bolt &amp; Nut, Galv. Steel</t>
  </si>
  <si>
    <t xml:space="preserve">45' CLASS 2 CEDAR</t>
  </si>
  <si>
    <t xml:space="preserve">50' CLASS 3 CEDAR</t>
  </si>
  <si>
    <t xml:space="preserve">MEDIUM; similarity 62%</t>
  </si>
  <si>
    <t xml:space="preserve">35' CLASS 2 PINE</t>
  </si>
  <si>
    <t xml:space="preserve">45' CLASS 2 PINE</t>
  </si>
  <si>
    <t xml:space="preserve">45'' CLASS 4 PINE</t>
  </si>
  <si>
    <t xml:space="preserve">Wire Pigeon 3/0 6/1 ACSR OH 2600ft</t>
  </si>
  <si>
    <t xml:space="preserve">Basis of Quantities, Exclusions, and Reservation of Rights</t>
  </si>
  <si>
    <t xml:space="preserve">SOURCES</t>
  </si>
  <si>
    <t xml:space="preserve">DTE CUE estimate material summaries</t>
  </si>
  <si>
    <t xml:space="preserve">Per-CWO material requirement quantities by DTE IM (“CUE Required Qty”).</t>
  </si>
  <si>
    <t xml:space="preserve">Construction bills of material</t>
  </si>
  <si>
    <t xml:space="preserve">Per-CWO construction BOM quantities (“BOM Qty”).</t>
  </si>
  <si>
    <t xml:space="preserve">Supplier order records (PLS)</t>
  </si>
  <si>
    <t xml:space="preserve">Confirmed order allocations by CWO and IM; dollars cross-checked to the PLS purchase order report as of 7/28/2026.</t>
  </si>
  <si>
    <t xml:space="preserve">DTE Maximo work-order quantities</t>
  </si>
  <si>
    <t xml:space="preserve">Used as a cross-check only; program install quantities agree within ~5% overall and within 0.5% on conductor.</t>
  </si>
  <si>
    <t xml:space="preserve">METHODOLOGY</t>
  </si>
  <si>
    <t xml:space="preserve">•  Quantities were reconciled independently for each of the 15 CWOs, then rolled up by DTE IM at the program level.</t>
  </si>
  <si>
    <t xml:space="preserve">•  Full 18-digit CUE item numbers were extracted from the CUE document text and normalized to 9-digit DTE IM numbers.</t>
  </si>
  <si>
    <t xml:space="preserve">•  Order-only line items carrying a valid or suffix-normalized DTE IM are included; unresolved items appear on the Pending IM Confirmation tab.</t>
  </si>
  <si>
    <t xml:space="preserve">•  Variance columns are calculated in-sheet (CUE Required − BOM) and recompute automatically.</t>
  </si>
  <si>
    <t xml:space="preserve">EXCLUSIONS AND PENDING ITEMS</t>
  </si>
  <si>
    <t xml:space="preserve">•  DTE-furnished job stock is not included in ordered quantities; CUE Required quantities include all material regardless of furnishing party.</t>
  </si>
  <si>
    <t xml:space="preserve">•  Per-IM delivered quantities are pending a line-item export from the supplier (IM, qty ordered, qty delivered, PO number, promise date) and are not represented here.</t>
  </si>
  <si>
    <t xml:space="preserve">•  Underground CWOs removed from the program by credit are excluded in their entirety.</t>
  </si>
  <si>
    <t xml:space="preserve">•  Four recloser CWOs and CWO 73303193 are outside this reconciliation set and will follow under separate cover.</t>
  </si>
  <si>
    <t xml:space="preserve">•  Where a DTE IM spans mixed units of measure across sources, totals should be read with the UOM column; mixed-UOM lines are flagged in our working files.</t>
  </si>
  <si>
    <t xml:space="preserve">This package is a quantity reconciliation provided for informational and coordination purposes at DTE’s request. It is not an agreement to any credit, back-charge, price adjustment, or change to the scope or value of Contract 4400008681. All rights and remedies under the contract are expressly reserved. Any commercial adjustment arising from or related to the quantities herein shall be initiated and processed exclusively through the contract change process.</t>
  </si>
</sst>
</file>

<file path=xl/styles.xml><?xml version="1.0" encoding="utf-8"?>
<styleSheet xmlns="http://schemas.openxmlformats.org/spreadsheetml/2006/main">
  <numFmts count="4">
    <numFmt numFmtId="164" formatCode="General"/>
    <numFmt numFmtId="165" formatCode="@"/>
    <numFmt numFmtId="166" formatCode="#,##0"/>
    <numFmt numFmtId="167" formatCode="#,##0;\(#,##0\);\–"/>
  </numFmts>
  <fonts count="13">
    <font>
      <sz val="11"/>
      <color theme="1"/>
      <name val="Calibri"/>
      <family val="2"/>
      <charset val="1"/>
    </font>
    <font>
      <sz val="10"/>
      <name val="Arial"/>
      <family val="0"/>
    </font>
    <font>
      <sz val="10"/>
      <name val="Arial"/>
      <family val="0"/>
    </font>
    <font>
      <sz val="10"/>
      <name val="Arial"/>
      <family val="0"/>
    </font>
    <font>
      <b val="true"/>
      <sz val="16"/>
      <color rgb="FF393939"/>
      <name val="Arial"/>
      <family val="0"/>
      <charset val="1"/>
    </font>
    <font>
      <b val="true"/>
      <sz val="13"/>
      <color rgb="FFD0171F"/>
      <name val="Arial"/>
      <family val="0"/>
      <charset val="1"/>
    </font>
    <font>
      <b val="true"/>
      <sz val="10"/>
      <name val="Arial"/>
      <family val="0"/>
      <charset val="1"/>
    </font>
    <font>
      <sz val="10"/>
      <name val="Arial"/>
      <family val="0"/>
      <charset val="1"/>
    </font>
    <font>
      <i val="true"/>
      <sz val="9"/>
      <color rgb="FF555555"/>
      <name val="Arial"/>
      <family val="0"/>
      <charset val="1"/>
    </font>
    <font>
      <b val="true"/>
      <sz val="11"/>
      <color rgb="FFD0171F"/>
      <name val="Arial"/>
      <family val="0"/>
      <charset val="1"/>
    </font>
    <font>
      <b val="true"/>
      <sz val="13"/>
      <color rgb="FF393939"/>
      <name val="Arial"/>
      <family val="0"/>
      <charset val="1"/>
    </font>
    <font>
      <b val="true"/>
      <sz val="10"/>
      <color rgb="FFFFFFFF"/>
      <name val="Arial"/>
      <family val="0"/>
      <charset val="1"/>
    </font>
    <font>
      <sz val="8"/>
      <color rgb="FF777777"/>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393939"/>
        <bgColor rgb="FF333300"/>
      </patternFill>
    </fill>
  </fills>
  <borders count="2">
    <border diagonalUp="false" diagonalDown="false">
      <left/>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393939"/>
          <bgColor rgb="FF000000"/>
        </patternFill>
      </fill>
    </dxf>
    <dxf>
      <fill>
        <patternFill patternType="solid">
          <bgColor rgb="FF000000"/>
        </patternFill>
      </fill>
    </dxf>
    <dxf>
      <fill>
        <patternFill patternType="solid">
          <fgColor rgb="FFFFFFFF"/>
          <bgColor rgb="FF000000"/>
        </patternFill>
      </fill>
    </dxf>
    <dxf>
      <fill>
        <patternFill patternType="solid">
          <fgColor rgb="FF777777"/>
          <bgColor rgb="FF000000"/>
        </patternFill>
      </fill>
    </dxf>
    <dxf>
      <fill>
        <patternFill patternType="solid">
          <fgColor rgb="FFFFFF00"/>
          <bgColor rgb="FF000000"/>
        </patternFill>
      </fill>
    </dxf>
  </dxfs>
  <colors>
    <indexedColors>
      <rgbColor rgb="FF000000"/>
      <rgbColor rgb="FFFFFFFF"/>
      <rgbColor rgb="FFD0171F"/>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939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6" min="3" style="0" width="22"/>
    <col collapsed="false" customWidth="true" hidden="false" outlineLevel="0" max="7" min="7" style="0" width="30"/>
  </cols>
  <sheetData>
    <row r="2" customFormat="false" ht="19.7" hidden="false" customHeight="false" outlineLevel="0" collapsed="false">
      <c r="B2" s="1" t="s">
        <v>0</v>
      </c>
    </row>
    <row r="3" customFormat="false" ht="16.15" hidden="false" customHeight="false" outlineLevel="0" collapsed="false">
      <c r="B3" s="2" t="s">
        <v>1</v>
      </c>
    </row>
    <row r="5" customFormat="false" ht="15" hidden="false" customHeight="false" outlineLevel="0" collapsed="false">
      <c r="B5" s="3" t="s">
        <v>2</v>
      </c>
      <c r="C5" s="4" t="s">
        <v>3</v>
      </c>
      <c r="D5" s="4"/>
      <c r="E5" s="4"/>
      <c r="F5" s="4"/>
    </row>
    <row r="6" customFormat="false" ht="15" hidden="false" customHeight="false" outlineLevel="0" collapsed="false">
      <c r="B6" s="3" t="s">
        <v>4</v>
      </c>
      <c r="C6" s="4" t="s">
        <v>5</v>
      </c>
      <c r="D6" s="4"/>
      <c r="E6" s="4"/>
      <c r="F6" s="4"/>
    </row>
    <row r="7" customFormat="false" ht="15" hidden="false" customHeight="false" outlineLevel="0" collapsed="false">
      <c r="B7" s="3" t="s">
        <v>6</v>
      </c>
      <c r="C7" s="5" t="s">
        <v>7</v>
      </c>
      <c r="D7" s="5"/>
      <c r="E7" s="5"/>
      <c r="F7" s="5"/>
    </row>
    <row r="8" customFormat="false" ht="15" hidden="false" customHeight="false" outlineLevel="0" collapsed="false">
      <c r="B8" s="3" t="s">
        <v>8</v>
      </c>
      <c r="C8" s="5" t="s">
        <v>9</v>
      </c>
      <c r="D8" s="5"/>
      <c r="E8" s="5"/>
      <c r="F8" s="5"/>
    </row>
    <row r="9" customFormat="false" ht="15" hidden="false" customHeight="false" outlineLevel="0" collapsed="false">
      <c r="B9" s="3" t="s">
        <v>10</v>
      </c>
      <c r="C9" s="5" t="s">
        <v>9</v>
      </c>
      <c r="D9" s="5"/>
      <c r="E9" s="5"/>
      <c r="F9" s="5"/>
    </row>
    <row r="10" customFormat="false" ht="15" hidden="false" customHeight="false" outlineLevel="0" collapsed="false">
      <c r="B10" s="3" t="s">
        <v>11</v>
      </c>
      <c r="C10" s="4" t="s">
        <v>12</v>
      </c>
      <c r="D10" s="4"/>
      <c r="E10" s="4"/>
      <c r="F10" s="4"/>
    </row>
    <row r="11" customFormat="false" ht="15" hidden="false" customHeight="false" outlineLevel="0" collapsed="false">
      <c r="B11" s="6" t="s">
        <v>13</v>
      </c>
    </row>
    <row r="13" customFormat="false" ht="15" hidden="false" customHeight="false" outlineLevel="0" collapsed="false">
      <c r="B13" s="7" t="s">
        <v>14</v>
      </c>
    </row>
    <row r="14" customFormat="false" ht="15" hidden="false" customHeight="true" outlineLevel="0" collapsed="false">
      <c r="B14" s="8" t="s">
        <v>15</v>
      </c>
      <c r="C14" s="8"/>
      <c r="D14" s="8"/>
      <c r="E14" s="8"/>
      <c r="F14" s="8"/>
      <c r="G14" s="8"/>
    </row>
    <row r="15" customFormat="false" ht="15" hidden="false" customHeight="false" outlineLevel="0" collapsed="false">
      <c r="B15" s="8"/>
      <c r="C15" s="8"/>
      <c r="D15" s="8"/>
      <c r="E15" s="8"/>
      <c r="F15" s="8"/>
      <c r="G15" s="8"/>
    </row>
    <row r="16" customFormat="false" ht="15" hidden="false" customHeight="false" outlineLevel="0" collapsed="false">
      <c r="B16" s="8"/>
      <c r="C16" s="8"/>
      <c r="D16" s="8"/>
      <c r="E16" s="8"/>
      <c r="F16" s="8"/>
      <c r="G16" s="8"/>
    </row>
    <row r="18" customFormat="false" ht="15" hidden="false" customHeight="false" outlineLevel="0" collapsed="false">
      <c r="B18" s="7" t="s">
        <v>16</v>
      </c>
    </row>
    <row r="19" customFormat="false" ht="15" hidden="false" customHeight="true" outlineLevel="0" collapsed="false">
      <c r="B19" s="8" t="s">
        <v>17</v>
      </c>
      <c r="C19" s="8"/>
      <c r="D19" s="8"/>
      <c r="E19" s="8"/>
      <c r="F19" s="8"/>
      <c r="G19" s="8"/>
    </row>
    <row r="20" customFormat="false" ht="15" hidden="false" customHeight="false" outlineLevel="0" collapsed="false">
      <c r="B20" s="8"/>
      <c r="C20" s="8"/>
      <c r="D20" s="8"/>
      <c r="E20" s="8"/>
      <c r="F20" s="8"/>
      <c r="G20" s="8"/>
    </row>
    <row r="21" customFormat="false" ht="15" hidden="false" customHeight="false" outlineLevel="0" collapsed="false">
      <c r="B21" s="8"/>
      <c r="C21" s="8"/>
      <c r="D21" s="8"/>
      <c r="E21" s="8"/>
      <c r="F21" s="8"/>
      <c r="G21" s="8"/>
    </row>
    <row r="23" customFormat="false" ht="15" hidden="false" customHeight="false" outlineLevel="0" collapsed="false">
      <c r="B23" s="7" t="s">
        <v>18</v>
      </c>
    </row>
    <row r="24" customFormat="false" ht="15" hidden="false" customHeight="true" outlineLevel="0" collapsed="false">
      <c r="B24" s="3" t="s">
        <v>19</v>
      </c>
      <c r="C24" s="8" t="s">
        <v>20</v>
      </c>
      <c r="D24" s="8"/>
      <c r="E24" s="8"/>
      <c r="F24" s="8"/>
      <c r="G24" s="8"/>
    </row>
    <row r="25" customFormat="false" ht="15" hidden="false" customHeight="true" outlineLevel="0" collapsed="false">
      <c r="B25" s="3" t="s">
        <v>21</v>
      </c>
      <c r="C25" s="8" t="s">
        <v>22</v>
      </c>
      <c r="D25" s="8"/>
      <c r="E25" s="8"/>
      <c r="F25" s="8"/>
      <c r="G25" s="8"/>
    </row>
    <row r="26" customFormat="false" ht="15" hidden="false" customHeight="true" outlineLevel="0" collapsed="false">
      <c r="B26" s="3" t="s">
        <v>23</v>
      </c>
      <c r="C26" s="8" t="s">
        <v>24</v>
      </c>
      <c r="D26" s="8"/>
      <c r="E26" s="8"/>
      <c r="F26" s="8"/>
      <c r="G26" s="8"/>
    </row>
    <row r="27" customFormat="false" ht="15" hidden="false" customHeight="true" outlineLevel="0" collapsed="false">
      <c r="B27" s="3" t="s">
        <v>25</v>
      </c>
      <c r="C27" s="8" t="s">
        <v>26</v>
      </c>
      <c r="D27" s="8"/>
      <c r="E27" s="8"/>
      <c r="F27" s="8"/>
      <c r="G27" s="8"/>
    </row>
    <row r="28" customFormat="false" ht="15" hidden="false" customHeight="true" outlineLevel="0" collapsed="false">
      <c r="B28" s="3" t="s">
        <v>27</v>
      </c>
      <c r="C28" s="8" t="s">
        <v>28</v>
      </c>
      <c r="D28" s="8"/>
      <c r="E28" s="8"/>
      <c r="F28" s="8"/>
      <c r="G28" s="8"/>
    </row>
    <row r="30" customFormat="false" ht="15" hidden="false" customHeight="false" outlineLevel="0" collapsed="false">
      <c r="B30" s="7" t="s">
        <v>29</v>
      </c>
    </row>
    <row r="31" customFormat="false" ht="15" hidden="false" customHeight="true" outlineLevel="0" collapsed="false">
      <c r="B31" s="9" t="s">
        <v>30</v>
      </c>
      <c r="C31" s="9"/>
      <c r="D31" s="9"/>
      <c r="E31" s="9"/>
      <c r="F31" s="9"/>
      <c r="G31" s="9"/>
    </row>
    <row r="32" customFormat="false" ht="15" hidden="false" customHeight="false" outlineLevel="0" collapsed="false">
      <c r="B32" s="9"/>
      <c r="C32" s="9"/>
      <c r="D32" s="9"/>
      <c r="E32" s="9"/>
      <c r="F32" s="9"/>
      <c r="G32" s="9"/>
    </row>
    <row r="33" customFormat="false" ht="15" hidden="false" customHeight="false" outlineLevel="0" collapsed="false">
      <c r="B33" s="9"/>
      <c r="C33" s="9"/>
      <c r="D33" s="9"/>
      <c r="E33" s="9"/>
      <c r="F33" s="9"/>
      <c r="G33" s="9"/>
    </row>
    <row r="34" customFormat="false" ht="15" hidden="false" customHeight="false" outlineLevel="0" collapsed="false">
      <c r="B34" s="9"/>
      <c r="C34" s="9"/>
      <c r="D34" s="9"/>
      <c r="E34" s="9"/>
      <c r="F34" s="9"/>
      <c r="G34" s="9"/>
    </row>
  </sheetData>
  <mergeCells count="14">
    <mergeCell ref="C5:F5"/>
    <mergeCell ref="C6:F6"/>
    <mergeCell ref="C7:F7"/>
    <mergeCell ref="C8:F8"/>
    <mergeCell ref="C9:F9"/>
    <mergeCell ref="C10:F10"/>
    <mergeCell ref="B14:G16"/>
    <mergeCell ref="B19:G21"/>
    <mergeCell ref="C24:G24"/>
    <mergeCell ref="C25:G25"/>
    <mergeCell ref="C26:G26"/>
    <mergeCell ref="C27:G27"/>
    <mergeCell ref="C28:G28"/>
    <mergeCell ref="B31: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0"/>
    <col collapsed="false" customWidth="true" hidden="false" outlineLevel="0" max="4" min="4" style="0" width="22"/>
    <col collapsed="false" customWidth="true" hidden="false" outlineLevel="0" max="5" min="5" style="0" width="16"/>
    <col collapsed="false" customWidth="true" hidden="false" outlineLevel="0" max="6" min="6" style="0" width="22"/>
  </cols>
  <sheetData>
    <row r="2" customFormat="false" ht="16.15" hidden="false" customHeight="false" outlineLevel="0" collapsed="false">
      <c r="B2" s="10" t="s">
        <v>31</v>
      </c>
    </row>
    <row r="3" customFormat="false" ht="15" hidden="false" customHeight="false" outlineLevel="0" collapsed="false">
      <c r="B3" s="6" t="s">
        <v>32</v>
      </c>
    </row>
    <row r="5" customFormat="false" ht="15" hidden="false" customHeight="false" outlineLevel="0" collapsed="false">
      <c r="B5" s="11" t="s">
        <v>33</v>
      </c>
      <c r="C5" s="11" t="s">
        <v>34</v>
      </c>
      <c r="D5" s="11" t="s">
        <v>35</v>
      </c>
      <c r="E5" s="11" t="s">
        <v>36</v>
      </c>
      <c r="F5" s="11" t="s">
        <v>37</v>
      </c>
    </row>
    <row r="6" customFormat="false" ht="15" hidden="false" customHeight="false" outlineLevel="0" collapsed="false">
      <c r="B6" s="12" t="s">
        <v>38</v>
      </c>
      <c r="C6" s="13" t="n">
        <v>30</v>
      </c>
      <c r="D6" s="13" t="n">
        <v>9776</v>
      </c>
      <c r="E6" s="13" t="n">
        <v>12</v>
      </c>
      <c r="F6" s="13" t="n">
        <f aca="false">COUNTIF('Quantities by CWO and IM'!$B$6:$B$1593,B6)</f>
        <v>109</v>
      </c>
    </row>
    <row r="7" customFormat="false" ht="15" hidden="false" customHeight="false" outlineLevel="0" collapsed="false">
      <c r="B7" s="12" t="s">
        <v>39</v>
      </c>
      <c r="C7" s="13" t="n">
        <v>23</v>
      </c>
      <c r="D7" s="13" t="n">
        <v>8311</v>
      </c>
      <c r="E7" s="13" t="n">
        <v>9</v>
      </c>
      <c r="F7" s="13" t="n">
        <f aca="false">COUNTIF('Quantities by CWO and IM'!$B$6:$B$1593,B7)</f>
        <v>154</v>
      </c>
    </row>
    <row r="8" customFormat="false" ht="15" hidden="false" customHeight="false" outlineLevel="0" collapsed="false">
      <c r="B8" s="12" t="s">
        <v>40</v>
      </c>
      <c r="C8" s="13" t="n">
        <v>25</v>
      </c>
      <c r="D8" s="13" t="n">
        <v>5946</v>
      </c>
      <c r="E8" s="13" t="n">
        <v>7</v>
      </c>
      <c r="F8" s="13" t="n">
        <f aca="false">COUNTIF('Quantities by CWO and IM'!$B$6:$B$1593,B8)</f>
        <v>93</v>
      </c>
    </row>
    <row r="9" customFormat="false" ht="15" hidden="false" customHeight="false" outlineLevel="0" collapsed="false">
      <c r="B9" s="12" t="s">
        <v>41</v>
      </c>
      <c r="C9" s="13" t="n">
        <v>33</v>
      </c>
      <c r="D9" s="13" t="n">
        <v>6580</v>
      </c>
      <c r="E9" s="13" t="n">
        <v>13</v>
      </c>
      <c r="F9" s="13" t="n">
        <f aca="false">COUNTIF('Quantities by CWO and IM'!$B$6:$B$1593,B9)</f>
        <v>108</v>
      </c>
    </row>
    <row r="10" customFormat="false" ht="15" hidden="false" customHeight="false" outlineLevel="0" collapsed="false">
      <c r="B10" s="12" t="s">
        <v>42</v>
      </c>
      <c r="C10" s="13" t="n">
        <v>25</v>
      </c>
      <c r="D10" s="13" t="n">
        <v>6114</v>
      </c>
      <c r="E10" s="13" t="n">
        <v>5</v>
      </c>
      <c r="F10" s="13" t="n">
        <f aca="false">COUNTIF('Quantities by CWO and IM'!$B$6:$B$1593,B10)</f>
        <v>132</v>
      </c>
    </row>
    <row r="11" customFormat="false" ht="15" hidden="false" customHeight="false" outlineLevel="0" collapsed="false">
      <c r="B11" s="12" t="s">
        <v>43</v>
      </c>
      <c r="C11" s="13" t="n">
        <v>36</v>
      </c>
      <c r="D11" s="13" t="n">
        <v>22026</v>
      </c>
      <c r="E11" s="13" t="n">
        <v>9</v>
      </c>
      <c r="F11" s="13" t="n">
        <f aca="false">COUNTIF('Quantities by CWO and IM'!$B$6:$B$1593,B11)</f>
        <v>156</v>
      </c>
    </row>
    <row r="12" customFormat="false" ht="15" hidden="false" customHeight="false" outlineLevel="0" collapsed="false">
      <c r="B12" s="12" t="s">
        <v>44</v>
      </c>
      <c r="C12" s="13" t="n">
        <v>20</v>
      </c>
      <c r="D12" s="13" t="n">
        <v>4757</v>
      </c>
      <c r="E12" s="13" t="n">
        <v>4</v>
      </c>
      <c r="F12" s="13" t="n">
        <f aca="false">COUNTIF('Quantities by CWO and IM'!$B$6:$B$1593,B12)</f>
        <v>134</v>
      </c>
    </row>
    <row r="13" customFormat="false" ht="15" hidden="false" customHeight="false" outlineLevel="0" collapsed="false">
      <c r="B13" s="12" t="s">
        <v>45</v>
      </c>
      <c r="C13" s="13" t="n">
        <v>18</v>
      </c>
      <c r="D13" s="13" t="n">
        <v>8446</v>
      </c>
      <c r="E13" s="13" t="n">
        <v>6</v>
      </c>
      <c r="F13" s="13" t="n">
        <f aca="false">COUNTIF('Quantities by CWO and IM'!$B$6:$B$1593,B13)</f>
        <v>96</v>
      </c>
    </row>
    <row r="14" customFormat="false" ht="15" hidden="false" customHeight="false" outlineLevel="0" collapsed="false">
      <c r="B14" s="12" t="s">
        <v>46</v>
      </c>
      <c r="C14" s="13" t="n">
        <v>38</v>
      </c>
      <c r="D14" s="13" t="n">
        <v>8978</v>
      </c>
      <c r="E14" s="13" t="n">
        <v>6</v>
      </c>
      <c r="F14" s="13" t="n">
        <f aca="false">COUNTIF('Quantities by CWO and IM'!$B$6:$B$1593,B14)</f>
        <v>124</v>
      </c>
    </row>
    <row r="15" customFormat="false" ht="15" hidden="false" customHeight="false" outlineLevel="0" collapsed="false">
      <c r="B15" s="12" t="s">
        <v>47</v>
      </c>
      <c r="C15" s="13" t="n">
        <v>0</v>
      </c>
      <c r="D15" s="13" t="n">
        <v>145</v>
      </c>
      <c r="E15" s="13" t="n">
        <v>0</v>
      </c>
      <c r="F15" s="13" t="n">
        <f aca="false">COUNTIF('Quantities by CWO and IM'!$B$6:$B$1593,B15)</f>
        <v>68</v>
      </c>
    </row>
    <row r="16" customFormat="false" ht="15" hidden="false" customHeight="false" outlineLevel="0" collapsed="false">
      <c r="B16" s="12" t="s">
        <v>48</v>
      </c>
      <c r="C16" s="13" t="n">
        <v>32</v>
      </c>
      <c r="D16" s="13" t="n">
        <v>13450</v>
      </c>
      <c r="E16" s="13" t="n">
        <v>6</v>
      </c>
      <c r="F16" s="13" t="n">
        <f aca="false">COUNTIF('Quantities by CWO and IM'!$B$6:$B$1593,B16)</f>
        <v>106</v>
      </c>
    </row>
    <row r="17" customFormat="false" ht="15" hidden="false" customHeight="false" outlineLevel="0" collapsed="false">
      <c r="B17" s="12" t="s">
        <v>49</v>
      </c>
      <c r="C17" s="13" t="n">
        <v>33</v>
      </c>
      <c r="D17" s="13" t="n">
        <v>16885</v>
      </c>
      <c r="E17" s="13" t="n">
        <v>3</v>
      </c>
      <c r="F17" s="13" t="n">
        <f aca="false">COUNTIF('Quantities by CWO and IM'!$B$6:$B$1593,B17)</f>
        <v>104</v>
      </c>
    </row>
    <row r="18" customFormat="false" ht="15" hidden="false" customHeight="false" outlineLevel="0" collapsed="false">
      <c r="B18" s="12" t="s">
        <v>50</v>
      </c>
      <c r="C18" s="13" t="n">
        <v>15</v>
      </c>
      <c r="D18" s="13" t="n">
        <v>10960</v>
      </c>
      <c r="E18" s="13" t="n">
        <v>0</v>
      </c>
      <c r="F18" s="13" t="n">
        <f aca="false">COUNTIF('Quantities by CWO and IM'!$B$6:$B$1593,B18)</f>
        <v>70</v>
      </c>
    </row>
    <row r="19" customFormat="false" ht="15" hidden="false" customHeight="false" outlineLevel="0" collapsed="false">
      <c r="B19" s="12" t="s">
        <v>51</v>
      </c>
      <c r="C19" s="13" t="n">
        <v>3</v>
      </c>
      <c r="D19" s="13" t="n">
        <v>668</v>
      </c>
      <c r="E19" s="13" t="n">
        <v>0</v>
      </c>
      <c r="F19" s="13" t="n">
        <f aca="false">COUNTIF('Quantities by CWO and IM'!$B$6:$B$1593,B19)</f>
        <v>39</v>
      </c>
    </row>
    <row r="20" customFormat="false" ht="15" hidden="false" customHeight="false" outlineLevel="0" collapsed="false">
      <c r="B20" s="12" t="s">
        <v>52</v>
      </c>
      <c r="C20" s="13" t="n">
        <v>1</v>
      </c>
      <c r="D20" s="13" t="n">
        <v>17247</v>
      </c>
      <c r="E20" s="13" t="n">
        <v>4</v>
      </c>
      <c r="F20" s="13" t="n">
        <f aca="false">COUNTIF('Quantities by CWO and IM'!$B$6:$B$1593,B20)</f>
        <v>95</v>
      </c>
    </row>
    <row r="21" customFormat="false" ht="15" hidden="false" customHeight="false" outlineLevel="0" collapsed="false">
      <c r="B21" s="14" t="s">
        <v>53</v>
      </c>
      <c r="C21" s="15" t="n">
        <f aca="false">SUM(C6:C20)</f>
        <v>332</v>
      </c>
      <c r="D21" s="15" t="n">
        <f aca="false">SUM(D6:D20)</f>
        <v>140289</v>
      </c>
      <c r="E21" s="15" t="n">
        <f aca="false">SUM(E6:E20)</f>
        <v>84</v>
      </c>
      <c r="F21" s="15" t="n">
        <f aca="false">SUM(F6:F20)</f>
        <v>1588</v>
      </c>
    </row>
    <row r="23" customFormat="false" ht="15" hidden="false" customHeight="true" outlineLevel="0" collapsed="false">
      <c r="B23" s="16" t="s">
        <v>54</v>
      </c>
      <c r="C23" s="16"/>
      <c r="D23" s="16"/>
      <c r="E23" s="16"/>
      <c r="F23" s="16"/>
    </row>
    <row r="24" customFormat="false" ht="15" hidden="false" customHeight="false" outlineLevel="0" collapsed="false">
      <c r="B24" s="16"/>
      <c r="C24" s="16"/>
      <c r="D24" s="16"/>
      <c r="E24" s="16"/>
      <c r="F24" s="16"/>
    </row>
  </sheetData>
  <mergeCells count="1">
    <mergeCell ref="B23: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44"/>
    <col collapsed="false" customWidth="true" hidden="false" outlineLevel="0" max="5" min="4" style="0" width="8"/>
    <col collapsed="false" customWidth="true" hidden="false" outlineLevel="0" max="6" min="6" style="0" width="12"/>
    <col collapsed="false" customWidth="true" hidden="false" outlineLevel="0" max="9" min="7" style="0" width="14"/>
    <col collapsed="false" customWidth="true" hidden="false" outlineLevel="0" max="10" min="10" style="0" width="60"/>
  </cols>
  <sheetData>
    <row r="2" customFormat="false" ht="16.15" hidden="false" customHeight="false" outlineLevel="0" collapsed="false">
      <c r="B2" s="10" t="s">
        <v>55</v>
      </c>
    </row>
    <row r="3" customFormat="false" ht="15" hidden="false" customHeight="true" outlineLevel="0" collapsed="false">
      <c r="B3" s="16" t="s">
        <v>56</v>
      </c>
      <c r="C3" s="16"/>
      <c r="D3" s="16"/>
      <c r="E3" s="16"/>
      <c r="F3" s="16"/>
      <c r="G3" s="16"/>
      <c r="H3" s="16"/>
      <c r="I3" s="16"/>
    </row>
    <row r="5" customFormat="false" ht="23.85" hidden="false" customHeight="false" outlineLevel="0" collapsed="false">
      <c r="B5" s="11" t="s">
        <v>57</v>
      </c>
      <c r="C5" s="11" t="s">
        <v>58</v>
      </c>
      <c r="D5" s="11" t="s">
        <v>59</v>
      </c>
      <c r="E5" s="11" t="s">
        <v>60</v>
      </c>
      <c r="F5" s="11" t="s">
        <v>61</v>
      </c>
      <c r="G5" s="11" t="s">
        <v>62</v>
      </c>
      <c r="H5" s="11" t="s">
        <v>63</v>
      </c>
      <c r="I5" s="11" t="s">
        <v>64</v>
      </c>
      <c r="J5" s="11" t="s">
        <v>65</v>
      </c>
    </row>
    <row r="6" customFormat="false" ht="15" hidden="false" customHeight="false" outlineLevel="0" collapsed="false">
      <c r="B6" s="12" t="s">
        <v>66</v>
      </c>
      <c r="C6" s="17" t="s">
        <v>67</v>
      </c>
      <c r="D6" s="17" t="s">
        <v>68</v>
      </c>
      <c r="E6" s="13" t="n">
        <v>15</v>
      </c>
      <c r="F6" s="13" t="n">
        <v>186</v>
      </c>
      <c r="G6" s="13" t="n">
        <v>196</v>
      </c>
      <c r="H6" s="18" t="n">
        <f aca="false">N(G6)-N(F6)</f>
        <v>10</v>
      </c>
      <c r="I6" s="13" t="n">
        <v>200</v>
      </c>
      <c r="J6" s="19" t="s">
        <v>69</v>
      </c>
    </row>
    <row r="7" customFormat="false" ht="15" hidden="false" customHeight="false" outlineLevel="0" collapsed="false">
      <c r="B7" s="12" t="s">
        <v>70</v>
      </c>
      <c r="C7" s="17" t="s">
        <v>71</v>
      </c>
      <c r="D7" s="17" t="s">
        <v>68</v>
      </c>
      <c r="E7" s="13" t="n">
        <v>15</v>
      </c>
      <c r="F7" s="13" t="n">
        <v>3086</v>
      </c>
      <c r="G7" s="13" t="n">
        <v>2280</v>
      </c>
      <c r="H7" s="18" t="n">
        <f aca="false">N(G7)-N(F7)</f>
        <v>-806</v>
      </c>
      <c r="I7" s="13" t="n">
        <v>3086</v>
      </c>
      <c r="J7" s="19" t="s">
        <v>69</v>
      </c>
    </row>
    <row r="8" customFormat="false" ht="15" hidden="false" customHeight="false" outlineLevel="0" collapsed="false">
      <c r="B8" s="12" t="s">
        <v>72</v>
      </c>
      <c r="C8" s="17" t="s">
        <v>73</v>
      </c>
      <c r="D8" s="17" t="s">
        <v>68</v>
      </c>
      <c r="E8" s="13" t="n">
        <v>15</v>
      </c>
      <c r="F8" s="13" t="n">
        <v>494</v>
      </c>
      <c r="G8" s="13" t="n">
        <v>764</v>
      </c>
      <c r="H8" s="18" t="n">
        <f aca="false">N(G8)-N(F8)</f>
        <v>270</v>
      </c>
      <c r="I8" s="13" t="n">
        <v>500</v>
      </c>
      <c r="J8" s="19" t="s">
        <v>69</v>
      </c>
    </row>
    <row r="9" customFormat="false" ht="15" hidden="false" customHeight="false" outlineLevel="0" collapsed="false">
      <c r="B9" s="12" t="s">
        <v>74</v>
      </c>
      <c r="C9" s="17" t="s">
        <v>75</v>
      </c>
      <c r="D9" s="17" t="s">
        <v>68</v>
      </c>
      <c r="E9" s="13" t="n">
        <v>15</v>
      </c>
      <c r="F9" s="13" t="n">
        <v>350</v>
      </c>
      <c r="G9" s="13" t="n">
        <v>382</v>
      </c>
      <c r="H9" s="18" t="n">
        <f aca="false">N(G9)-N(F9)</f>
        <v>32</v>
      </c>
      <c r="I9" s="13" t="n">
        <v>350</v>
      </c>
      <c r="J9" s="19" t="s">
        <v>69</v>
      </c>
    </row>
    <row r="10" customFormat="false" ht="15" hidden="false" customHeight="false" outlineLevel="0" collapsed="false">
      <c r="B10" s="12" t="s">
        <v>76</v>
      </c>
      <c r="C10" s="17" t="s">
        <v>77</v>
      </c>
      <c r="D10" s="17" t="s">
        <v>68</v>
      </c>
      <c r="E10" s="13" t="n">
        <v>15</v>
      </c>
      <c r="F10" s="13" t="n">
        <v>1543</v>
      </c>
      <c r="G10" s="13" t="n">
        <v>1112</v>
      </c>
      <c r="H10" s="18" t="n">
        <f aca="false">N(G10)-N(F10)</f>
        <v>-431</v>
      </c>
      <c r="I10" s="13" t="n">
        <v>1729</v>
      </c>
      <c r="J10" s="19" t="s">
        <v>69</v>
      </c>
    </row>
    <row r="11" customFormat="false" ht="15" hidden="false" customHeight="false" outlineLevel="0" collapsed="false">
      <c r="B11" s="12" t="s">
        <v>78</v>
      </c>
      <c r="C11" s="17" t="s">
        <v>79</v>
      </c>
      <c r="D11" s="17" t="s">
        <v>68</v>
      </c>
      <c r="E11" s="13" t="n">
        <v>15</v>
      </c>
      <c r="F11" s="13" t="n">
        <v>2231</v>
      </c>
      <c r="G11" s="13" t="n">
        <v>2391</v>
      </c>
      <c r="H11" s="18" t="n">
        <f aca="false">N(G11)-N(F11)</f>
        <v>160</v>
      </c>
      <c r="I11" s="13" t="n">
        <v>2259</v>
      </c>
      <c r="J11" s="19" t="s">
        <v>69</v>
      </c>
    </row>
    <row r="12" customFormat="false" ht="15" hidden="false" customHeight="false" outlineLevel="0" collapsed="false">
      <c r="B12" s="12" t="s">
        <v>80</v>
      </c>
      <c r="C12" s="17" t="s">
        <v>81</v>
      </c>
      <c r="D12" s="17" t="s">
        <v>68</v>
      </c>
      <c r="E12" s="13" t="n">
        <v>15</v>
      </c>
      <c r="F12" s="13" t="n">
        <v>3534</v>
      </c>
      <c r="G12" s="13" t="n">
        <v>3696</v>
      </c>
      <c r="H12" s="18" t="n">
        <f aca="false">N(G12)-N(F12)</f>
        <v>162</v>
      </c>
      <c r="I12" s="13" t="n">
        <v>3534</v>
      </c>
      <c r="J12" s="19" t="s">
        <v>69</v>
      </c>
    </row>
    <row r="13" customFormat="false" ht="15" hidden="false" customHeight="false" outlineLevel="0" collapsed="false">
      <c r="B13" s="12" t="s">
        <v>82</v>
      </c>
      <c r="C13" s="17" t="s">
        <v>83</v>
      </c>
      <c r="D13" s="17" t="s">
        <v>68</v>
      </c>
      <c r="E13" s="13" t="n">
        <v>15</v>
      </c>
      <c r="F13" s="13" t="n">
        <v>339</v>
      </c>
      <c r="G13" s="13" t="n">
        <v>327</v>
      </c>
      <c r="H13" s="18" t="n">
        <f aca="false">N(G13)-N(F13)</f>
        <v>-12</v>
      </c>
      <c r="I13" s="13" t="n">
        <v>339</v>
      </c>
      <c r="J13" s="19" t="s">
        <v>69</v>
      </c>
    </row>
    <row r="14" customFormat="false" ht="15" hidden="false" customHeight="false" outlineLevel="0" collapsed="false">
      <c r="B14" s="12" t="s">
        <v>84</v>
      </c>
      <c r="C14" s="17" t="s">
        <v>85</v>
      </c>
      <c r="D14" s="17" t="s">
        <v>68</v>
      </c>
      <c r="E14" s="13" t="n">
        <v>15</v>
      </c>
      <c r="F14" s="13" t="n">
        <v>560</v>
      </c>
      <c r="G14" s="13" t="n">
        <v>342</v>
      </c>
      <c r="H14" s="18" t="n">
        <f aca="false">N(G14)-N(F14)</f>
        <v>-218</v>
      </c>
      <c r="I14" s="13" t="n">
        <v>560</v>
      </c>
      <c r="J14" s="19" t="s">
        <v>69</v>
      </c>
    </row>
    <row r="15" customFormat="false" ht="15" hidden="false" customHeight="false" outlineLevel="0" collapsed="false">
      <c r="B15" s="12" t="s">
        <v>86</v>
      </c>
      <c r="C15" s="17" t="s">
        <v>87</v>
      </c>
      <c r="D15" s="17" t="s">
        <v>68</v>
      </c>
      <c r="E15" s="13" t="n">
        <v>15</v>
      </c>
      <c r="F15" s="13" t="n">
        <v>517</v>
      </c>
      <c r="G15" s="13" t="n">
        <v>516</v>
      </c>
      <c r="H15" s="18" t="n">
        <f aca="false">N(G15)-N(F15)</f>
        <v>-1</v>
      </c>
      <c r="I15" s="13" t="n">
        <v>517</v>
      </c>
      <c r="J15" s="19" t="s">
        <v>69</v>
      </c>
    </row>
    <row r="16" customFormat="false" ht="15" hidden="false" customHeight="false" outlineLevel="0" collapsed="false">
      <c r="B16" s="12" t="s">
        <v>88</v>
      </c>
      <c r="C16" s="17" t="s">
        <v>89</v>
      </c>
      <c r="D16" s="17" t="s">
        <v>68</v>
      </c>
      <c r="E16" s="13" t="n">
        <v>15</v>
      </c>
      <c r="F16" s="13" t="n">
        <v>1454</v>
      </c>
      <c r="G16" s="13" t="n">
        <v>1078</v>
      </c>
      <c r="H16" s="18" t="n">
        <f aca="false">N(G16)-N(F16)</f>
        <v>-376</v>
      </c>
      <c r="I16" s="13" t="n">
        <v>1448</v>
      </c>
      <c r="J16" s="19" t="s">
        <v>69</v>
      </c>
    </row>
    <row r="17" customFormat="false" ht="15" hidden="false" customHeight="false" outlineLevel="0" collapsed="false">
      <c r="B17" s="12" t="s">
        <v>90</v>
      </c>
      <c r="C17" s="17" t="s">
        <v>91</v>
      </c>
      <c r="D17" s="17" t="s">
        <v>68</v>
      </c>
      <c r="E17" s="13" t="n">
        <v>15</v>
      </c>
      <c r="F17" s="13" t="n">
        <v>305</v>
      </c>
      <c r="G17" s="13" t="n">
        <v>227</v>
      </c>
      <c r="H17" s="18" t="n">
        <f aca="false">N(G17)-N(F17)</f>
        <v>-78</v>
      </c>
      <c r="I17" s="13" t="n">
        <v>305</v>
      </c>
      <c r="J17" s="19" t="s">
        <v>69</v>
      </c>
    </row>
    <row r="18" customFormat="false" ht="15" hidden="false" customHeight="false" outlineLevel="0" collapsed="false">
      <c r="B18" s="12" t="s">
        <v>92</v>
      </c>
      <c r="C18" s="17" t="s">
        <v>93</v>
      </c>
      <c r="D18" s="17" t="s">
        <v>94</v>
      </c>
      <c r="E18" s="13" t="n">
        <v>15</v>
      </c>
      <c r="F18" s="13" t="n">
        <v>3910</v>
      </c>
      <c r="G18" s="13" t="n">
        <v>12141</v>
      </c>
      <c r="H18" s="18" t="n">
        <f aca="false">N(G18)-N(F18)</f>
        <v>8231</v>
      </c>
      <c r="I18" s="13" t="n">
        <v>2307.1667</v>
      </c>
      <c r="J18" s="19" t="s">
        <v>69</v>
      </c>
    </row>
    <row r="19" customFormat="false" ht="15" hidden="false" customHeight="false" outlineLevel="0" collapsed="false">
      <c r="B19" s="12" t="s">
        <v>95</v>
      </c>
      <c r="C19" s="17" t="s">
        <v>96</v>
      </c>
      <c r="D19" s="17" t="s">
        <v>68</v>
      </c>
      <c r="E19" s="13" t="n">
        <v>15</v>
      </c>
      <c r="F19" s="13" t="n">
        <v>197</v>
      </c>
      <c r="G19" s="13" t="n">
        <v>126</v>
      </c>
      <c r="H19" s="18" t="n">
        <f aca="false">N(G19)-N(F19)</f>
        <v>-71</v>
      </c>
      <c r="I19" s="13" t="n">
        <v>200</v>
      </c>
      <c r="J19" s="19" t="s">
        <v>69</v>
      </c>
    </row>
    <row r="20" customFormat="false" ht="15" hidden="false" customHeight="false" outlineLevel="0" collapsed="false">
      <c r="B20" s="12" t="s">
        <v>97</v>
      </c>
      <c r="C20" s="17" t="s">
        <v>98</v>
      </c>
      <c r="D20" s="17" t="s">
        <v>68</v>
      </c>
      <c r="E20" s="13" t="n">
        <v>15</v>
      </c>
      <c r="F20" s="13" t="n">
        <v>1287</v>
      </c>
      <c r="G20" s="13" t="n">
        <v>1205</v>
      </c>
      <c r="H20" s="18" t="n">
        <f aca="false">N(G20)-N(F20)</f>
        <v>-82</v>
      </c>
      <c r="I20" s="13" t="n">
        <v>1287</v>
      </c>
      <c r="J20" s="19" t="s">
        <v>69</v>
      </c>
    </row>
    <row r="21" customFormat="false" ht="15" hidden="false" customHeight="false" outlineLevel="0" collapsed="false">
      <c r="B21" s="12" t="s">
        <v>99</v>
      </c>
      <c r="C21" s="17" t="s">
        <v>100</v>
      </c>
      <c r="D21" s="17" t="s">
        <v>68</v>
      </c>
      <c r="E21" s="13" t="n">
        <v>15</v>
      </c>
      <c r="F21" s="13" t="n">
        <v>872</v>
      </c>
      <c r="G21" s="13" t="n">
        <v>818</v>
      </c>
      <c r="H21" s="18" t="n">
        <f aca="false">N(G21)-N(F21)</f>
        <v>-54</v>
      </c>
      <c r="I21" s="13" t="n">
        <v>835</v>
      </c>
      <c r="J21" s="19" t="s">
        <v>69</v>
      </c>
    </row>
    <row r="22" customFormat="false" ht="15" hidden="false" customHeight="false" outlineLevel="0" collapsed="false">
      <c r="B22" s="12" t="s">
        <v>101</v>
      </c>
      <c r="C22" s="17" t="s">
        <v>102</v>
      </c>
      <c r="D22" s="17" t="s">
        <v>68</v>
      </c>
      <c r="E22" s="13" t="n">
        <v>15</v>
      </c>
      <c r="F22" s="13" t="n">
        <v>188</v>
      </c>
      <c r="G22" s="13" t="n">
        <v>543</v>
      </c>
      <c r="H22" s="18" t="n">
        <f aca="false">N(G22)-N(F22)</f>
        <v>355</v>
      </c>
      <c r="I22" s="13" t="n">
        <v>527</v>
      </c>
      <c r="J22" s="19" t="s">
        <v>69</v>
      </c>
    </row>
    <row r="23" customFormat="false" ht="15" hidden="false" customHeight="false" outlineLevel="0" collapsed="false">
      <c r="B23" s="12" t="s">
        <v>103</v>
      </c>
      <c r="C23" s="17" t="s">
        <v>104</v>
      </c>
      <c r="D23" s="17" t="s">
        <v>68</v>
      </c>
      <c r="E23" s="13" t="n">
        <v>15</v>
      </c>
      <c r="F23" s="13" t="n">
        <v>3586</v>
      </c>
      <c r="G23" s="13" t="n">
        <v>2547</v>
      </c>
      <c r="H23" s="18" t="n">
        <f aca="false">N(G23)-N(F23)</f>
        <v>-1039</v>
      </c>
      <c r="I23" s="13" t="n">
        <v>3776</v>
      </c>
      <c r="J23" s="19" t="s">
        <v>69</v>
      </c>
    </row>
    <row r="24" customFormat="false" ht="15" hidden="false" customHeight="false" outlineLevel="0" collapsed="false">
      <c r="B24" s="12" t="s">
        <v>105</v>
      </c>
      <c r="C24" s="17" t="s">
        <v>106</v>
      </c>
      <c r="D24" s="17" t="s">
        <v>68</v>
      </c>
      <c r="E24" s="13" t="n">
        <v>15</v>
      </c>
      <c r="F24" s="13" t="n">
        <v>380</v>
      </c>
      <c r="G24" s="13" t="n">
        <v>334</v>
      </c>
      <c r="H24" s="18" t="n">
        <f aca="false">N(G24)-N(F24)</f>
        <v>-46</v>
      </c>
      <c r="I24" s="13" t="n">
        <v>380</v>
      </c>
      <c r="J24" s="19" t="s">
        <v>69</v>
      </c>
    </row>
    <row r="25" customFormat="false" ht="15" hidden="false" customHeight="false" outlineLevel="0" collapsed="false">
      <c r="B25" s="12" t="s">
        <v>107</v>
      </c>
      <c r="C25" s="17" t="s">
        <v>108</v>
      </c>
      <c r="D25" s="17" t="s">
        <v>109</v>
      </c>
      <c r="E25" s="13" t="n">
        <v>15</v>
      </c>
      <c r="F25" s="13" t="n">
        <v>13</v>
      </c>
      <c r="G25" s="13" t="n">
        <v>247</v>
      </c>
      <c r="H25" s="18" t="n">
        <f aca="false">N(G25)-N(F25)</f>
        <v>234</v>
      </c>
      <c r="I25" s="13" t="n">
        <v>51</v>
      </c>
      <c r="J25" s="19" t="s">
        <v>69</v>
      </c>
    </row>
    <row r="26" customFormat="false" ht="15" hidden="false" customHeight="false" outlineLevel="0" collapsed="false">
      <c r="B26" s="12" t="s">
        <v>110</v>
      </c>
      <c r="C26" s="17" t="s">
        <v>111</v>
      </c>
      <c r="D26" s="17" t="s">
        <v>68</v>
      </c>
      <c r="E26" s="13" t="n">
        <v>14</v>
      </c>
      <c r="F26" s="13" t="n">
        <v>992</v>
      </c>
      <c r="G26" s="13" t="n">
        <v>869</v>
      </c>
      <c r="H26" s="18" t="n">
        <f aca="false">N(G26)-N(F26)</f>
        <v>-123</v>
      </c>
      <c r="I26" s="13" t="n">
        <v>993</v>
      </c>
      <c r="J26" s="19" t="s">
        <v>112</v>
      </c>
    </row>
    <row r="27" customFormat="false" ht="15" hidden="false" customHeight="false" outlineLevel="0" collapsed="false">
      <c r="B27" s="12" t="s">
        <v>113</v>
      </c>
      <c r="C27" s="17" t="s">
        <v>114</v>
      </c>
      <c r="D27" s="17" t="s">
        <v>68</v>
      </c>
      <c r="E27" s="13" t="n">
        <v>14</v>
      </c>
      <c r="F27" s="13" t="n">
        <v>1138</v>
      </c>
      <c r="G27" s="13" t="n">
        <v>756</v>
      </c>
      <c r="H27" s="18" t="n">
        <f aca="false">N(G27)-N(F27)</f>
        <v>-382</v>
      </c>
      <c r="I27" s="13" t="n">
        <v>1108</v>
      </c>
      <c r="J27" s="19" t="s">
        <v>112</v>
      </c>
    </row>
    <row r="28" customFormat="false" ht="15" hidden="false" customHeight="false" outlineLevel="0" collapsed="false">
      <c r="B28" s="12" t="s">
        <v>115</v>
      </c>
      <c r="C28" s="17" t="s">
        <v>116</v>
      </c>
      <c r="D28" s="17" t="s">
        <v>68</v>
      </c>
      <c r="E28" s="13" t="n">
        <v>14</v>
      </c>
      <c r="F28" s="13" t="n">
        <v>175</v>
      </c>
      <c r="G28" s="13" t="n">
        <v>0</v>
      </c>
      <c r="H28" s="18" t="n">
        <f aca="false">N(G28)-N(F28)</f>
        <v>-175</v>
      </c>
      <c r="I28" s="13" t="n">
        <v>178</v>
      </c>
      <c r="J28" s="19" t="s">
        <v>117</v>
      </c>
    </row>
    <row r="29" customFormat="false" ht="15" hidden="false" customHeight="false" outlineLevel="0" collapsed="false">
      <c r="B29" s="12" t="s">
        <v>118</v>
      </c>
      <c r="C29" s="17" t="s">
        <v>119</v>
      </c>
      <c r="D29" s="17" t="s">
        <v>68</v>
      </c>
      <c r="E29" s="13" t="n">
        <v>14</v>
      </c>
      <c r="F29" s="13" t="n">
        <v>441</v>
      </c>
      <c r="G29" s="13" t="n">
        <v>412</v>
      </c>
      <c r="H29" s="18" t="n">
        <f aca="false">N(G29)-N(F29)</f>
        <v>-29</v>
      </c>
      <c r="I29" s="13" t="n">
        <v>411</v>
      </c>
      <c r="J29" s="19" t="s">
        <v>120</v>
      </c>
    </row>
    <row r="30" customFormat="false" ht="15" hidden="false" customHeight="false" outlineLevel="0" collapsed="false">
      <c r="B30" s="12" t="s">
        <v>121</v>
      </c>
      <c r="C30" s="17" t="s">
        <v>122</v>
      </c>
      <c r="D30" s="17" t="s">
        <v>68</v>
      </c>
      <c r="E30" s="13" t="n">
        <v>14</v>
      </c>
      <c r="F30" s="13" t="n">
        <v>402</v>
      </c>
      <c r="G30" s="13" t="n">
        <v>505</v>
      </c>
      <c r="H30" s="18" t="n">
        <f aca="false">N(G30)-N(F30)</f>
        <v>103</v>
      </c>
      <c r="I30" s="13" t="n">
        <v>402</v>
      </c>
      <c r="J30" s="19" t="s">
        <v>112</v>
      </c>
    </row>
    <row r="31" customFormat="false" ht="15" hidden="false" customHeight="false" outlineLevel="0" collapsed="false">
      <c r="B31" s="12" t="s">
        <v>123</v>
      </c>
      <c r="C31" s="17" t="s">
        <v>124</v>
      </c>
      <c r="D31" s="17"/>
      <c r="E31" s="13" t="n">
        <v>14</v>
      </c>
      <c r="F31" s="13" t="n">
        <v>3325</v>
      </c>
      <c r="G31" s="13" t="n">
        <v>5692</v>
      </c>
      <c r="H31" s="18" t="n">
        <f aca="false">N(G31)-N(F31)</f>
        <v>2367</v>
      </c>
      <c r="I31" s="13"/>
      <c r="J31" s="19" t="s">
        <v>112</v>
      </c>
    </row>
    <row r="32" customFormat="false" ht="15" hidden="false" customHeight="false" outlineLevel="0" collapsed="false">
      <c r="B32" s="12" t="s">
        <v>125</v>
      </c>
      <c r="C32" s="17" t="s">
        <v>126</v>
      </c>
      <c r="D32" s="17" t="s">
        <v>68</v>
      </c>
      <c r="E32" s="13" t="n">
        <v>14</v>
      </c>
      <c r="F32" s="13" t="n">
        <v>251</v>
      </c>
      <c r="G32" s="13" t="n">
        <v>249</v>
      </c>
      <c r="H32" s="18" t="n">
        <f aca="false">N(G32)-N(F32)</f>
        <v>-2</v>
      </c>
      <c r="I32" s="13" t="n">
        <v>251</v>
      </c>
      <c r="J32" s="19" t="s">
        <v>112</v>
      </c>
    </row>
    <row r="33" customFormat="false" ht="15" hidden="false" customHeight="false" outlineLevel="0" collapsed="false">
      <c r="B33" s="12" t="s">
        <v>127</v>
      </c>
      <c r="C33" s="17" t="s">
        <v>128</v>
      </c>
      <c r="D33" s="17" t="s">
        <v>68</v>
      </c>
      <c r="E33" s="13" t="n">
        <v>14</v>
      </c>
      <c r="F33" s="13" t="n">
        <v>147</v>
      </c>
      <c r="G33" s="13" t="n">
        <v>374</v>
      </c>
      <c r="H33" s="18" t="n">
        <f aca="false">N(G33)-N(F33)</f>
        <v>227</v>
      </c>
      <c r="I33" s="13" t="n">
        <v>169</v>
      </c>
      <c r="J33" s="19" t="s">
        <v>112</v>
      </c>
    </row>
    <row r="34" customFormat="false" ht="15" hidden="false" customHeight="false" outlineLevel="0" collapsed="false">
      <c r="B34" s="12" t="s">
        <v>129</v>
      </c>
      <c r="C34" s="17" t="s">
        <v>130</v>
      </c>
      <c r="D34" s="17" t="s">
        <v>68</v>
      </c>
      <c r="E34" s="13" t="n">
        <v>13</v>
      </c>
      <c r="F34" s="13" t="n">
        <v>136</v>
      </c>
      <c r="G34" s="13" t="n">
        <v>154</v>
      </c>
      <c r="H34" s="18" t="n">
        <f aca="false">N(G34)-N(F34)</f>
        <v>18</v>
      </c>
      <c r="I34" s="13" t="n">
        <v>136</v>
      </c>
      <c r="J34" s="19" t="s">
        <v>131</v>
      </c>
    </row>
    <row r="35" customFormat="false" ht="15" hidden="false" customHeight="false" outlineLevel="0" collapsed="false">
      <c r="B35" s="12" t="s">
        <v>132</v>
      </c>
      <c r="C35" s="17" t="s">
        <v>133</v>
      </c>
      <c r="D35" s="17" t="s">
        <v>68</v>
      </c>
      <c r="E35" s="13" t="n">
        <v>13</v>
      </c>
      <c r="F35" s="13" t="n">
        <v>672</v>
      </c>
      <c r="G35" s="13" t="n">
        <v>572</v>
      </c>
      <c r="H35" s="18" t="n">
        <f aca="false">N(G35)-N(F35)</f>
        <v>-100</v>
      </c>
      <c r="I35" s="13" t="n">
        <v>866</v>
      </c>
      <c r="J35" s="19" t="s">
        <v>134</v>
      </c>
    </row>
    <row r="36" customFormat="false" ht="15" hidden="false" customHeight="false" outlineLevel="0" collapsed="false">
      <c r="B36" s="12" t="s">
        <v>135</v>
      </c>
      <c r="C36" s="17" t="s">
        <v>136</v>
      </c>
      <c r="D36" s="17" t="s">
        <v>94</v>
      </c>
      <c r="E36" s="13" t="n">
        <v>13</v>
      </c>
      <c r="F36" s="13" t="n">
        <v>64366</v>
      </c>
      <c r="G36" s="13" t="n">
        <v>57894</v>
      </c>
      <c r="H36" s="18" t="n">
        <f aca="false">N(G36)-N(F36)</f>
        <v>-6472</v>
      </c>
      <c r="I36" s="13" t="n">
        <v>60950</v>
      </c>
      <c r="J36" s="19" t="s">
        <v>137</v>
      </c>
    </row>
    <row r="37" customFormat="false" ht="15" hidden="false" customHeight="false" outlineLevel="0" collapsed="false">
      <c r="B37" s="12" t="s">
        <v>138</v>
      </c>
      <c r="C37" s="17" t="s">
        <v>139</v>
      </c>
      <c r="D37" s="17" t="s">
        <v>68</v>
      </c>
      <c r="E37" s="13" t="n">
        <v>13</v>
      </c>
      <c r="F37" s="13" t="n">
        <v>89</v>
      </c>
      <c r="G37" s="13" t="n">
        <v>83</v>
      </c>
      <c r="H37" s="18" t="n">
        <f aca="false">N(G37)-N(F37)</f>
        <v>-6</v>
      </c>
      <c r="I37" s="13" t="n">
        <v>173</v>
      </c>
      <c r="J37" s="19" t="s">
        <v>140</v>
      </c>
    </row>
    <row r="38" customFormat="false" ht="15" hidden="false" customHeight="false" outlineLevel="0" collapsed="false">
      <c r="B38" s="12" t="s">
        <v>141</v>
      </c>
      <c r="C38" s="17" t="s">
        <v>142</v>
      </c>
      <c r="D38" s="17" t="s">
        <v>68</v>
      </c>
      <c r="E38" s="13" t="n">
        <v>13</v>
      </c>
      <c r="F38" s="13" t="n">
        <v>26</v>
      </c>
      <c r="G38" s="13" t="n">
        <v>124</v>
      </c>
      <c r="H38" s="18" t="n">
        <f aca="false">N(G38)-N(F38)</f>
        <v>98</v>
      </c>
      <c r="I38" s="13" t="n">
        <v>26</v>
      </c>
      <c r="J38" s="19" t="s">
        <v>134</v>
      </c>
    </row>
    <row r="39" customFormat="false" ht="15" hidden="false" customHeight="false" outlineLevel="0" collapsed="false">
      <c r="B39" s="12" t="s">
        <v>143</v>
      </c>
      <c r="C39" s="17" t="s">
        <v>144</v>
      </c>
      <c r="D39" s="17" t="s">
        <v>68</v>
      </c>
      <c r="E39" s="13" t="n">
        <v>13</v>
      </c>
      <c r="F39" s="13" t="n">
        <v>50</v>
      </c>
      <c r="G39" s="13" t="n">
        <v>51</v>
      </c>
      <c r="H39" s="18" t="n">
        <f aca="false">N(G39)-N(F39)</f>
        <v>1</v>
      </c>
      <c r="I39" s="13" t="n">
        <v>50</v>
      </c>
      <c r="J39" s="19" t="s">
        <v>145</v>
      </c>
    </row>
    <row r="40" customFormat="false" ht="15" hidden="false" customHeight="false" outlineLevel="0" collapsed="false">
      <c r="B40" s="12" t="s">
        <v>146</v>
      </c>
      <c r="C40" s="17" t="s">
        <v>147</v>
      </c>
      <c r="D40" s="17" t="s">
        <v>68</v>
      </c>
      <c r="E40" s="13" t="n">
        <v>13</v>
      </c>
      <c r="F40" s="13" t="n">
        <v>103</v>
      </c>
      <c r="G40" s="13" t="n">
        <v>85</v>
      </c>
      <c r="H40" s="18" t="n">
        <f aca="false">N(G40)-N(F40)</f>
        <v>-18</v>
      </c>
      <c r="I40" s="13" t="n">
        <v>103</v>
      </c>
      <c r="J40" s="19" t="s">
        <v>134</v>
      </c>
    </row>
    <row r="41" customFormat="false" ht="15" hidden="false" customHeight="false" outlineLevel="0" collapsed="false">
      <c r="B41" s="12" t="s">
        <v>148</v>
      </c>
      <c r="C41" s="17" t="s">
        <v>149</v>
      </c>
      <c r="D41" s="17" t="s">
        <v>68</v>
      </c>
      <c r="E41" s="13" t="n">
        <v>13</v>
      </c>
      <c r="F41" s="13" t="n">
        <v>514</v>
      </c>
      <c r="G41" s="13" t="n">
        <v>747</v>
      </c>
      <c r="H41" s="18" t="n">
        <f aca="false">N(G41)-N(F41)</f>
        <v>233</v>
      </c>
      <c r="I41" s="13" t="n">
        <v>514</v>
      </c>
      <c r="J41" s="19" t="s">
        <v>134</v>
      </c>
    </row>
    <row r="42" customFormat="false" ht="15" hidden="false" customHeight="false" outlineLevel="0" collapsed="false">
      <c r="B42" s="12" t="s">
        <v>150</v>
      </c>
      <c r="C42" s="17" t="s">
        <v>151</v>
      </c>
      <c r="D42" s="17" t="s">
        <v>68</v>
      </c>
      <c r="E42" s="13" t="n">
        <v>13</v>
      </c>
      <c r="F42" s="13" t="n">
        <v>259</v>
      </c>
      <c r="G42" s="13" t="n">
        <v>307</v>
      </c>
      <c r="H42" s="18" t="n">
        <f aca="false">N(G42)-N(F42)</f>
        <v>48</v>
      </c>
      <c r="I42" s="13" t="n">
        <v>259</v>
      </c>
      <c r="J42" s="19" t="s">
        <v>134</v>
      </c>
    </row>
    <row r="43" customFormat="false" ht="15" hidden="false" customHeight="false" outlineLevel="0" collapsed="false">
      <c r="B43" s="12" t="s">
        <v>152</v>
      </c>
      <c r="C43" s="17" t="s">
        <v>153</v>
      </c>
      <c r="D43" s="17" t="s">
        <v>68</v>
      </c>
      <c r="E43" s="13" t="n">
        <v>13</v>
      </c>
      <c r="F43" s="13" t="n">
        <v>167</v>
      </c>
      <c r="G43" s="13" t="n">
        <v>570</v>
      </c>
      <c r="H43" s="18" t="n">
        <f aca="false">N(G43)-N(F43)</f>
        <v>403</v>
      </c>
      <c r="I43" s="13" t="n">
        <v>50</v>
      </c>
      <c r="J43" s="19" t="s">
        <v>154</v>
      </c>
    </row>
    <row r="44" customFormat="false" ht="15" hidden="false" customHeight="false" outlineLevel="0" collapsed="false">
      <c r="B44" s="12" t="s">
        <v>155</v>
      </c>
      <c r="C44" s="17" t="s">
        <v>156</v>
      </c>
      <c r="D44" s="17" t="s">
        <v>68</v>
      </c>
      <c r="E44" s="13" t="n">
        <v>13</v>
      </c>
      <c r="F44" s="13" t="n">
        <v>85</v>
      </c>
      <c r="G44" s="13" t="n">
        <v>160</v>
      </c>
      <c r="H44" s="18" t="n">
        <f aca="false">N(G44)-N(F44)</f>
        <v>75</v>
      </c>
      <c r="I44" s="13" t="n">
        <v>98</v>
      </c>
      <c r="J44" s="19" t="s">
        <v>134</v>
      </c>
    </row>
    <row r="45" customFormat="false" ht="15" hidden="false" customHeight="false" outlineLevel="0" collapsed="false">
      <c r="B45" s="12" t="s">
        <v>157</v>
      </c>
      <c r="C45" s="17" t="s">
        <v>158</v>
      </c>
      <c r="D45" s="17" t="s">
        <v>68</v>
      </c>
      <c r="E45" s="13" t="n">
        <v>13</v>
      </c>
      <c r="F45" s="13" t="n">
        <v>830</v>
      </c>
      <c r="G45" s="13" t="n">
        <v>562</v>
      </c>
      <c r="H45" s="18" t="n">
        <f aca="false">N(G45)-N(F45)</f>
        <v>-268</v>
      </c>
      <c r="I45" s="13" t="n">
        <v>830</v>
      </c>
      <c r="J45" s="19" t="s">
        <v>154</v>
      </c>
    </row>
    <row r="46" customFormat="false" ht="15" hidden="false" customHeight="false" outlineLevel="0" collapsed="false">
      <c r="B46" s="12" t="s">
        <v>159</v>
      </c>
      <c r="C46" s="17" t="s">
        <v>160</v>
      </c>
      <c r="D46" s="17" t="s">
        <v>68</v>
      </c>
      <c r="E46" s="13" t="n">
        <v>13</v>
      </c>
      <c r="F46" s="13" t="n">
        <v>185</v>
      </c>
      <c r="G46" s="13" t="n">
        <v>93</v>
      </c>
      <c r="H46" s="18" t="n">
        <f aca="false">N(G46)-N(F46)</f>
        <v>-92</v>
      </c>
      <c r="I46" s="13" t="n">
        <v>222</v>
      </c>
      <c r="J46" s="19" t="s">
        <v>134</v>
      </c>
    </row>
    <row r="47" customFormat="false" ht="15" hidden="false" customHeight="false" outlineLevel="0" collapsed="false">
      <c r="B47" s="12" t="s">
        <v>161</v>
      </c>
      <c r="C47" s="17" t="s">
        <v>162</v>
      </c>
      <c r="D47" s="17" t="s">
        <v>94</v>
      </c>
      <c r="E47" s="13" t="n">
        <v>13</v>
      </c>
      <c r="F47" s="13" t="n">
        <v>1594</v>
      </c>
      <c r="G47" s="13" t="n">
        <v>12328</v>
      </c>
      <c r="H47" s="18" t="n">
        <f aca="false">N(G47)-N(F47)</f>
        <v>10734</v>
      </c>
      <c r="I47" s="13" t="n">
        <v>7000</v>
      </c>
      <c r="J47" s="19" t="s">
        <v>163</v>
      </c>
    </row>
    <row r="48" customFormat="false" ht="15" hidden="false" customHeight="false" outlineLevel="0" collapsed="false">
      <c r="B48" s="12" t="s">
        <v>164</v>
      </c>
      <c r="C48" s="17" t="s">
        <v>165</v>
      </c>
      <c r="D48" s="17" t="s">
        <v>94</v>
      </c>
      <c r="E48" s="13" t="n">
        <v>12</v>
      </c>
      <c r="F48" s="13" t="n">
        <v>101</v>
      </c>
      <c r="G48" s="13" t="n">
        <v>196</v>
      </c>
      <c r="H48" s="18" t="n">
        <f aca="false">N(G48)-N(F48)</f>
        <v>95</v>
      </c>
      <c r="I48" s="13" t="n">
        <v>500</v>
      </c>
      <c r="J48" s="19" t="s">
        <v>166</v>
      </c>
    </row>
    <row r="49" customFormat="false" ht="15" hidden="false" customHeight="false" outlineLevel="0" collapsed="false">
      <c r="B49" s="12" t="s">
        <v>167</v>
      </c>
      <c r="C49" s="17" t="s">
        <v>168</v>
      </c>
      <c r="D49" s="17" t="s">
        <v>68</v>
      </c>
      <c r="E49" s="13" t="n">
        <v>12</v>
      </c>
      <c r="F49" s="13" t="n">
        <v>234</v>
      </c>
      <c r="G49" s="13" t="n">
        <v>22</v>
      </c>
      <c r="H49" s="18" t="n">
        <f aca="false">N(G49)-N(F49)</f>
        <v>-212</v>
      </c>
      <c r="I49" s="13" t="n">
        <v>290</v>
      </c>
      <c r="J49" s="19" t="s">
        <v>169</v>
      </c>
    </row>
    <row r="50" customFormat="false" ht="15" hidden="false" customHeight="false" outlineLevel="0" collapsed="false">
      <c r="B50" s="12" t="s">
        <v>170</v>
      </c>
      <c r="C50" s="17" t="s">
        <v>171</v>
      </c>
      <c r="D50" s="17" t="s">
        <v>68</v>
      </c>
      <c r="E50" s="13" t="n">
        <v>12</v>
      </c>
      <c r="F50" s="13" t="n">
        <v>433</v>
      </c>
      <c r="G50" s="13" t="n">
        <v>344</v>
      </c>
      <c r="H50" s="18" t="n">
        <f aca="false">N(G50)-N(F50)</f>
        <v>-89</v>
      </c>
      <c r="I50" s="13" t="n">
        <v>450</v>
      </c>
      <c r="J50" s="19" t="s">
        <v>172</v>
      </c>
    </row>
    <row r="51" customFormat="false" ht="15" hidden="false" customHeight="false" outlineLevel="0" collapsed="false">
      <c r="B51" s="12" t="s">
        <v>173</v>
      </c>
      <c r="C51" s="17" t="s">
        <v>174</v>
      </c>
      <c r="D51" s="17" t="s">
        <v>68</v>
      </c>
      <c r="E51" s="13" t="n">
        <v>12</v>
      </c>
      <c r="F51" s="13" t="n">
        <v>147</v>
      </c>
      <c r="G51" s="13" t="n">
        <v>202</v>
      </c>
      <c r="H51" s="18" t="n">
        <f aca="false">N(G51)-N(F51)</f>
        <v>55</v>
      </c>
      <c r="I51" s="13" t="n">
        <v>157</v>
      </c>
      <c r="J51" s="19" t="s">
        <v>175</v>
      </c>
    </row>
    <row r="52" customFormat="false" ht="15" hidden="false" customHeight="false" outlineLevel="0" collapsed="false">
      <c r="B52" s="12" t="s">
        <v>176</v>
      </c>
      <c r="C52" s="17" t="s">
        <v>177</v>
      </c>
      <c r="D52" s="17" t="s">
        <v>68</v>
      </c>
      <c r="E52" s="13" t="n">
        <v>12</v>
      </c>
      <c r="F52" s="13" t="n">
        <v>127</v>
      </c>
      <c r="G52" s="13" t="n">
        <v>152</v>
      </c>
      <c r="H52" s="18" t="n">
        <f aca="false">N(G52)-N(F52)</f>
        <v>25</v>
      </c>
      <c r="I52" s="13" t="n">
        <v>127</v>
      </c>
      <c r="J52" s="19" t="s">
        <v>178</v>
      </c>
    </row>
    <row r="53" customFormat="false" ht="15" hidden="false" customHeight="false" outlineLevel="0" collapsed="false">
      <c r="B53" s="12" t="s">
        <v>179</v>
      </c>
      <c r="C53" s="17" t="s">
        <v>180</v>
      </c>
      <c r="D53" s="17" t="s">
        <v>68</v>
      </c>
      <c r="E53" s="13" t="n">
        <v>12</v>
      </c>
      <c r="F53" s="13" t="n">
        <v>61</v>
      </c>
      <c r="G53" s="13" t="n">
        <v>38</v>
      </c>
      <c r="H53" s="18" t="n">
        <f aca="false">N(G53)-N(F53)</f>
        <v>-23</v>
      </c>
      <c r="I53" s="13" t="n">
        <v>84</v>
      </c>
      <c r="J53" s="19" t="s">
        <v>181</v>
      </c>
    </row>
    <row r="54" customFormat="false" ht="15" hidden="false" customHeight="false" outlineLevel="0" collapsed="false">
      <c r="B54" s="12" t="s">
        <v>182</v>
      </c>
      <c r="C54" s="17" t="s">
        <v>183</v>
      </c>
      <c r="D54" s="17" t="s">
        <v>68</v>
      </c>
      <c r="E54" s="13" t="n">
        <v>12</v>
      </c>
      <c r="F54" s="13" t="n">
        <v>213</v>
      </c>
      <c r="G54" s="13" t="n">
        <v>155</v>
      </c>
      <c r="H54" s="18" t="n">
        <f aca="false">N(G54)-N(F54)</f>
        <v>-58</v>
      </c>
      <c r="I54" s="13" t="n">
        <v>213</v>
      </c>
      <c r="J54" s="19" t="s">
        <v>175</v>
      </c>
    </row>
    <row r="55" customFormat="false" ht="15" hidden="false" customHeight="false" outlineLevel="0" collapsed="false">
      <c r="B55" s="12" t="s">
        <v>184</v>
      </c>
      <c r="C55" s="17" t="s">
        <v>185</v>
      </c>
      <c r="D55" s="17" t="s">
        <v>68</v>
      </c>
      <c r="E55" s="13" t="n">
        <v>12</v>
      </c>
      <c r="F55" s="13" t="n">
        <v>127</v>
      </c>
      <c r="G55" s="13" t="n">
        <v>30</v>
      </c>
      <c r="H55" s="18" t="n">
        <f aca="false">N(G55)-N(F55)</f>
        <v>-97</v>
      </c>
      <c r="I55" s="13" t="n">
        <v>127</v>
      </c>
      <c r="J55" s="19" t="s">
        <v>186</v>
      </c>
    </row>
    <row r="56" customFormat="false" ht="15" hidden="false" customHeight="false" outlineLevel="0" collapsed="false">
      <c r="B56" s="12" t="s">
        <v>187</v>
      </c>
      <c r="C56" s="17" t="s">
        <v>188</v>
      </c>
      <c r="D56" s="17" t="s">
        <v>68</v>
      </c>
      <c r="E56" s="13" t="n">
        <v>11</v>
      </c>
      <c r="F56" s="13" t="n">
        <v>93</v>
      </c>
      <c r="G56" s="13" t="n">
        <v>22</v>
      </c>
      <c r="H56" s="18" t="n">
        <f aca="false">N(G56)-N(F56)</f>
        <v>-71</v>
      </c>
      <c r="I56" s="13" t="n">
        <v>94</v>
      </c>
      <c r="J56" s="19" t="s">
        <v>189</v>
      </c>
    </row>
    <row r="57" customFormat="false" ht="15" hidden="false" customHeight="false" outlineLevel="0" collapsed="false">
      <c r="B57" s="12" t="s">
        <v>190</v>
      </c>
      <c r="C57" s="17" t="s">
        <v>191</v>
      </c>
      <c r="D57" s="17" t="s">
        <v>68</v>
      </c>
      <c r="E57" s="13" t="n">
        <v>11</v>
      </c>
      <c r="F57" s="13" t="n">
        <v>55</v>
      </c>
      <c r="G57" s="13" t="n">
        <v>94</v>
      </c>
      <c r="H57" s="18" t="n">
        <f aca="false">N(G57)-N(F57)</f>
        <v>39</v>
      </c>
      <c r="I57" s="13" t="n">
        <v>85</v>
      </c>
      <c r="J57" s="19" t="s">
        <v>192</v>
      </c>
    </row>
    <row r="58" customFormat="false" ht="15" hidden="false" customHeight="false" outlineLevel="0" collapsed="false">
      <c r="B58" s="12" t="s">
        <v>193</v>
      </c>
      <c r="C58" s="17" t="s">
        <v>194</v>
      </c>
      <c r="D58" s="17" t="s">
        <v>68</v>
      </c>
      <c r="E58" s="13" t="n">
        <v>11</v>
      </c>
      <c r="F58" s="13" t="n">
        <v>69</v>
      </c>
      <c r="G58" s="13" t="n">
        <v>83</v>
      </c>
      <c r="H58" s="18" t="n">
        <f aca="false">N(G58)-N(F58)</f>
        <v>14</v>
      </c>
      <c r="I58" s="13" t="n">
        <v>69</v>
      </c>
      <c r="J58" s="19" t="s">
        <v>195</v>
      </c>
    </row>
    <row r="59" customFormat="false" ht="15" hidden="false" customHeight="false" outlineLevel="0" collapsed="false">
      <c r="B59" s="12" t="s">
        <v>196</v>
      </c>
      <c r="C59" s="17" t="s">
        <v>197</v>
      </c>
      <c r="D59" s="17" t="s">
        <v>68</v>
      </c>
      <c r="E59" s="13" t="n">
        <v>11</v>
      </c>
      <c r="F59" s="13" t="n">
        <v>61</v>
      </c>
      <c r="G59" s="13" t="n">
        <v>83</v>
      </c>
      <c r="H59" s="18" t="n">
        <f aca="false">N(G59)-N(F59)</f>
        <v>22</v>
      </c>
      <c r="I59" s="13" t="n">
        <v>61</v>
      </c>
      <c r="J59" s="19" t="s">
        <v>195</v>
      </c>
    </row>
    <row r="60" customFormat="false" ht="15" hidden="false" customHeight="false" outlineLevel="0" collapsed="false">
      <c r="B60" s="12" t="s">
        <v>198</v>
      </c>
      <c r="C60" s="17" t="s">
        <v>199</v>
      </c>
      <c r="D60" s="17" t="s">
        <v>68</v>
      </c>
      <c r="E60" s="13" t="n">
        <v>11</v>
      </c>
      <c r="F60" s="13" t="n">
        <v>42</v>
      </c>
      <c r="G60" s="13" t="n">
        <v>190</v>
      </c>
      <c r="H60" s="18" t="n">
        <f aca="false">N(G60)-N(F60)</f>
        <v>148</v>
      </c>
      <c r="I60" s="13" t="n">
        <v>50</v>
      </c>
      <c r="J60" s="19" t="s">
        <v>200</v>
      </c>
    </row>
    <row r="61" customFormat="false" ht="15" hidden="false" customHeight="false" outlineLevel="0" collapsed="false">
      <c r="B61" s="12" t="s">
        <v>201</v>
      </c>
      <c r="C61" s="17" t="s">
        <v>202</v>
      </c>
      <c r="D61" s="17" t="s">
        <v>68</v>
      </c>
      <c r="E61" s="13" t="n">
        <v>11</v>
      </c>
      <c r="F61" s="13" t="n">
        <v>276</v>
      </c>
      <c r="G61" s="13" t="n">
        <v>280</v>
      </c>
      <c r="H61" s="18" t="n">
        <f aca="false">N(G61)-N(F61)</f>
        <v>4</v>
      </c>
      <c r="I61" s="13" t="n">
        <v>276</v>
      </c>
      <c r="J61" s="19" t="s">
        <v>203</v>
      </c>
    </row>
    <row r="62" customFormat="false" ht="15" hidden="false" customHeight="false" outlineLevel="0" collapsed="false">
      <c r="B62" s="12" t="s">
        <v>204</v>
      </c>
      <c r="C62" s="17" t="s">
        <v>205</v>
      </c>
      <c r="D62" s="17" t="s">
        <v>68</v>
      </c>
      <c r="E62" s="13" t="n">
        <v>11</v>
      </c>
      <c r="F62" s="13" t="n">
        <v>74</v>
      </c>
      <c r="G62" s="13" t="n">
        <v>99</v>
      </c>
      <c r="H62" s="18" t="n">
        <f aca="false">N(G62)-N(F62)</f>
        <v>25</v>
      </c>
      <c r="I62" s="13" t="n">
        <v>74</v>
      </c>
      <c r="J62" s="19" t="s">
        <v>206</v>
      </c>
    </row>
    <row r="63" customFormat="false" ht="15" hidden="false" customHeight="false" outlineLevel="0" collapsed="false">
      <c r="B63" s="12" t="s">
        <v>207</v>
      </c>
      <c r="C63" s="17" t="s">
        <v>208</v>
      </c>
      <c r="D63" s="17" t="s">
        <v>68</v>
      </c>
      <c r="E63" s="13" t="n">
        <v>11</v>
      </c>
      <c r="F63" s="13" t="n">
        <v>230</v>
      </c>
      <c r="G63" s="13" t="n">
        <v>176</v>
      </c>
      <c r="H63" s="18" t="n">
        <f aca="false">N(G63)-N(F63)</f>
        <v>-54</v>
      </c>
      <c r="I63" s="13" t="n">
        <v>248</v>
      </c>
      <c r="J63" s="19" t="s">
        <v>209</v>
      </c>
    </row>
    <row r="64" customFormat="false" ht="15" hidden="false" customHeight="false" outlineLevel="0" collapsed="false">
      <c r="B64" s="12" t="s">
        <v>210</v>
      </c>
      <c r="C64" s="17" t="s">
        <v>211</v>
      </c>
      <c r="D64" s="17" t="s">
        <v>68</v>
      </c>
      <c r="E64" s="13" t="n">
        <v>11</v>
      </c>
      <c r="F64" s="13" t="n">
        <v>181</v>
      </c>
      <c r="G64" s="13" t="n">
        <v>165</v>
      </c>
      <c r="H64" s="18" t="n">
        <f aca="false">N(G64)-N(F64)</f>
        <v>-16</v>
      </c>
      <c r="I64" s="13" t="n">
        <v>181</v>
      </c>
      <c r="J64" s="19" t="s">
        <v>206</v>
      </c>
    </row>
    <row r="65" customFormat="false" ht="15" hidden="false" customHeight="false" outlineLevel="0" collapsed="false">
      <c r="B65" s="12" t="s">
        <v>212</v>
      </c>
      <c r="C65" s="17" t="s">
        <v>213</v>
      </c>
      <c r="D65" s="17" t="s">
        <v>68</v>
      </c>
      <c r="E65" s="13" t="n">
        <v>11</v>
      </c>
      <c r="F65" s="13" t="n">
        <v>160</v>
      </c>
      <c r="G65" s="13" t="n">
        <v>167</v>
      </c>
      <c r="H65" s="18" t="n">
        <f aca="false">N(G65)-N(F65)</f>
        <v>7</v>
      </c>
      <c r="I65" s="13" t="n">
        <v>160</v>
      </c>
      <c r="J65" s="19" t="s">
        <v>214</v>
      </c>
    </row>
    <row r="66" customFormat="false" ht="15" hidden="false" customHeight="false" outlineLevel="0" collapsed="false">
      <c r="B66" s="12" t="s">
        <v>215</v>
      </c>
      <c r="C66" s="17" t="s">
        <v>216</v>
      </c>
      <c r="D66" s="17" t="s">
        <v>68</v>
      </c>
      <c r="E66" s="13" t="n">
        <v>11</v>
      </c>
      <c r="F66" s="13" t="n">
        <v>0</v>
      </c>
      <c r="G66" s="13" t="n">
        <v>68</v>
      </c>
      <c r="H66" s="18" t="n">
        <f aca="false">N(G66)-N(F66)</f>
        <v>68</v>
      </c>
      <c r="I66" s="13" t="n">
        <v>83</v>
      </c>
      <c r="J66" s="19" t="s">
        <v>217</v>
      </c>
    </row>
    <row r="67" customFormat="false" ht="15" hidden="false" customHeight="false" outlineLevel="0" collapsed="false">
      <c r="B67" s="12" t="s">
        <v>218</v>
      </c>
      <c r="C67" s="17" t="s">
        <v>219</v>
      </c>
      <c r="D67" s="17" t="s">
        <v>68</v>
      </c>
      <c r="E67" s="13" t="n">
        <v>11</v>
      </c>
      <c r="F67" s="13" t="n">
        <v>89</v>
      </c>
      <c r="G67" s="13" t="n">
        <v>81</v>
      </c>
      <c r="H67" s="18" t="n">
        <f aca="false">N(G67)-N(F67)</f>
        <v>-8</v>
      </c>
      <c r="I67" s="13" t="n">
        <v>89</v>
      </c>
      <c r="J67" s="19" t="s">
        <v>220</v>
      </c>
    </row>
    <row r="68" customFormat="false" ht="15" hidden="false" customHeight="false" outlineLevel="0" collapsed="false">
      <c r="B68" s="12" t="s">
        <v>221</v>
      </c>
      <c r="C68" s="17" t="s">
        <v>222</v>
      </c>
      <c r="D68" s="17" t="s">
        <v>68</v>
      </c>
      <c r="E68" s="13" t="n">
        <v>11</v>
      </c>
      <c r="F68" s="13" t="n">
        <v>39</v>
      </c>
      <c r="G68" s="13" t="n">
        <v>34</v>
      </c>
      <c r="H68" s="18" t="n">
        <f aca="false">N(G68)-N(F68)</f>
        <v>-5</v>
      </c>
      <c r="I68" s="13" t="n">
        <v>40</v>
      </c>
      <c r="J68" s="19" t="s">
        <v>223</v>
      </c>
    </row>
    <row r="69" customFormat="false" ht="15" hidden="false" customHeight="false" outlineLevel="0" collapsed="false">
      <c r="B69" s="12" t="s">
        <v>224</v>
      </c>
      <c r="C69" s="17" t="s">
        <v>225</v>
      </c>
      <c r="D69" s="17" t="s">
        <v>68</v>
      </c>
      <c r="E69" s="13" t="n">
        <v>11</v>
      </c>
      <c r="F69" s="13" t="n">
        <v>136</v>
      </c>
      <c r="G69" s="13" t="n">
        <v>181</v>
      </c>
      <c r="H69" s="18" t="n">
        <f aca="false">N(G69)-N(F69)</f>
        <v>45</v>
      </c>
      <c r="I69" s="13" t="n">
        <v>150</v>
      </c>
      <c r="J69" s="19" t="s">
        <v>195</v>
      </c>
    </row>
    <row r="70" customFormat="false" ht="15" hidden="false" customHeight="false" outlineLevel="0" collapsed="false">
      <c r="B70" s="12" t="s">
        <v>226</v>
      </c>
      <c r="C70" s="17" t="s">
        <v>227</v>
      </c>
      <c r="D70" s="17" t="s">
        <v>68</v>
      </c>
      <c r="E70" s="13" t="n">
        <v>11</v>
      </c>
      <c r="F70" s="13" t="n">
        <v>54</v>
      </c>
      <c r="G70" s="13" t="n">
        <v>49</v>
      </c>
      <c r="H70" s="18" t="n">
        <f aca="false">N(G70)-N(F70)</f>
        <v>-5</v>
      </c>
      <c r="I70" s="13" t="n">
        <v>51</v>
      </c>
      <c r="J70" s="19" t="s">
        <v>206</v>
      </c>
    </row>
    <row r="71" customFormat="false" ht="15" hidden="false" customHeight="false" outlineLevel="0" collapsed="false">
      <c r="B71" s="12" t="s">
        <v>228</v>
      </c>
      <c r="C71" s="17" t="s">
        <v>229</v>
      </c>
      <c r="D71" s="17" t="s">
        <v>68</v>
      </c>
      <c r="E71" s="13" t="n">
        <v>10</v>
      </c>
      <c r="F71" s="13" t="n">
        <v>261</v>
      </c>
      <c r="G71" s="13" t="n">
        <v>130</v>
      </c>
      <c r="H71" s="18" t="n">
        <f aca="false">N(G71)-N(F71)</f>
        <v>-131</v>
      </c>
      <c r="I71" s="13" t="n">
        <v>161</v>
      </c>
      <c r="J71" s="19" t="s">
        <v>230</v>
      </c>
    </row>
    <row r="72" customFormat="false" ht="15" hidden="false" customHeight="false" outlineLevel="0" collapsed="false">
      <c r="B72" s="12" t="s">
        <v>231</v>
      </c>
      <c r="C72" s="17" t="s">
        <v>232</v>
      </c>
      <c r="D72" s="17" t="s">
        <v>68</v>
      </c>
      <c r="E72" s="13" t="n">
        <v>10</v>
      </c>
      <c r="F72" s="13" t="n">
        <v>51</v>
      </c>
      <c r="G72" s="13" t="n">
        <v>51</v>
      </c>
      <c r="H72" s="18" t="n">
        <f aca="false">N(G72)-N(F72)</f>
        <v>0</v>
      </c>
      <c r="I72" s="13" t="n">
        <v>51</v>
      </c>
      <c r="J72" s="19" t="s">
        <v>233</v>
      </c>
    </row>
    <row r="73" customFormat="false" ht="15" hidden="false" customHeight="false" outlineLevel="0" collapsed="false">
      <c r="B73" s="12" t="s">
        <v>234</v>
      </c>
      <c r="C73" s="17" t="s">
        <v>235</v>
      </c>
      <c r="D73" s="17" t="s">
        <v>68</v>
      </c>
      <c r="E73" s="13" t="n">
        <v>10</v>
      </c>
      <c r="F73" s="13" t="n">
        <v>50</v>
      </c>
      <c r="G73" s="13" t="n">
        <v>86</v>
      </c>
      <c r="H73" s="18" t="n">
        <f aca="false">N(G73)-N(F73)</f>
        <v>36</v>
      </c>
      <c r="I73" s="13" t="n">
        <v>100</v>
      </c>
      <c r="J73" s="19" t="s">
        <v>236</v>
      </c>
    </row>
    <row r="74" customFormat="false" ht="15" hidden="false" customHeight="false" outlineLevel="0" collapsed="false">
      <c r="B74" s="12" t="s">
        <v>237</v>
      </c>
      <c r="C74" s="17" t="s">
        <v>238</v>
      </c>
      <c r="D74" s="17" t="s">
        <v>68</v>
      </c>
      <c r="E74" s="13" t="n">
        <v>10</v>
      </c>
      <c r="F74" s="13" t="n">
        <v>118</v>
      </c>
      <c r="G74" s="13" t="n">
        <v>101</v>
      </c>
      <c r="H74" s="18" t="n">
        <f aca="false">N(G74)-N(F74)</f>
        <v>-17</v>
      </c>
      <c r="I74" s="13" t="n">
        <v>118</v>
      </c>
      <c r="J74" s="19" t="s">
        <v>239</v>
      </c>
    </row>
    <row r="75" customFormat="false" ht="15" hidden="false" customHeight="false" outlineLevel="0" collapsed="false">
      <c r="B75" s="12" t="s">
        <v>240</v>
      </c>
      <c r="C75" s="17" t="s">
        <v>241</v>
      </c>
      <c r="D75" s="17" t="s">
        <v>94</v>
      </c>
      <c r="E75" s="13" t="n">
        <v>10</v>
      </c>
      <c r="F75" s="13" t="n">
        <v>26728</v>
      </c>
      <c r="G75" s="13" t="n">
        <v>8206</v>
      </c>
      <c r="H75" s="18" t="n">
        <f aca="false">N(G75)-N(F75)</f>
        <v>-18522</v>
      </c>
      <c r="I75" s="13" t="n">
        <v>37200.0001</v>
      </c>
      <c r="J75" s="19" t="s">
        <v>230</v>
      </c>
    </row>
    <row r="76" customFormat="false" ht="15" hidden="false" customHeight="false" outlineLevel="0" collapsed="false">
      <c r="B76" s="12" t="s">
        <v>242</v>
      </c>
      <c r="C76" s="17" t="s">
        <v>243</v>
      </c>
      <c r="D76" s="17" t="s">
        <v>68</v>
      </c>
      <c r="E76" s="13" t="n">
        <v>10</v>
      </c>
      <c r="F76" s="13" t="n">
        <v>6</v>
      </c>
      <c r="G76" s="13" t="n">
        <v>61</v>
      </c>
      <c r="H76" s="18" t="n">
        <f aca="false">N(G76)-N(F76)</f>
        <v>55</v>
      </c>
      <c r="I76" s="13" t="n">
        <v>127</v>
      </c>
      <c r="J76" s="19" t="s">
        <v>244</v>
      </c>
    </row>
    <row r="77" customFormat="false" ht="15" hidden="false" customHeight="false" outlineLevel="0" collapsed="false">
      <c r="B77" s="12" t="s">
        <v>245</v>
      </c>
      <c r="C77" s="17" t="s">
        <v>246</v>
      </c>
      <c r="D77" s="17" t="s">
        <v>68</v>
      </c>
      <c r="E77" s="13" t="n">
        <v>10</v>
      </c>
      <c r="F77" s="13" t="n">
        <v>125</v>
      </c>
      <c r="G77" s="13" t="n">
        <v>75</v>
      </c>
      <c r="H77" s="18" t="n">
        <f aca="false">N(G77)-N(F77)</f>
        <v>-50</v>
      </c>
      <c r="I77" s="13" t="n">
        <v>125</v>
      </c>
      <c r="J77" s="19" t="s">
        <v>247</v>
      </c>
    </row>
    <row r="78" customFormat="false" ht="15" hidden="false" customHeight="false" outlineLevel="0" collapsed="false">
      <c r="B78" s="12" t="s">
        <v>248</v>
      </c>
      <c r="C78" s="17" t="s">
        <v>133</v>
      </c>
      <c r="D78" s="17" t="s">
        <v>68</v>
      </c>
      <c r="E78" s="13" t="n">
        <v>10</v>
      </c>
      <c r="F78" s="13" t="n">
        <v>111</v>
      </c>
      <c r="G78" s="13" t="n">
        <v>74</v>
      </c>
      <c r="H78" s="18" t="n">
        <f aca="false">N(G78)-N(F78)</f>
        <v>-37</v>
      </c>
      <c r="I78" s="13" t="n">
        <v>111</v>
      </c>
      <c r="J78" s="19" t="s">
        <v>249</v>
      </c>
    </row>
    <row r="79" customFormat="false" ht="15" hidden="false" customHeight="false" outlineLevel="0" collapsed="false">
      <c r="B79" s="12" t="s">
        <v>250</v>
      </c>
      <c r="C79" s="17" t="s">
        <v>251</v>
      </c>
      <c r="D79" s="17" t="s">
        <v>68</v>
      </c>
      <c r="E79" s="13" t="n">
        <v>10</v>
      </c>
      <c r="F79" s="13" t="n">
        <v>150</v>
      </c>
      <c r="G79" s="13" t="n">
        <v>188</v>
      </c>
      <c r="H79" s="18" t="n">
        <f aca="false">N(G79)-N(F79)</f>
        <v>38</v>
      </c>
      <c r="I79" s="13" t="n">
        <v>195</v>
      </c>
      <c r="J79" s="19" t="s">
        <v>230</v>
      </c>
    </row>
    <row r="80" customFormat="false" ht="15" hidden="false" customHeight="false" outlineLevel="0" collapsed="false">
      <c r="B80" s="12" t="s">
        <v>252</v>
      </c>
      <c r="C80" s="17" t="s">
        <v>253</v>
      </c>
      <c r="D80" s="17"/>
      <c r="E80" s="13" t="n">
        <v>10</v>
      </c>
      <c r="F80" s="13" t="n">
        <v>0</v>
      </c>
      <c r="G80" s="13" t="n">
        <v>147</v>
      </c>
      <c r="H80" s="18" t="n">
        <f aca="false">N(G80)-N(F80)</f>
        <v>147</v>
      </c>
      <c r="I80" s="13"/>
      <c r="J80" s="19" t="s">
        <v>254</v>
      </c>
    </row>
    <row r="81" customFormat="false" ht="15" hidden="false" customHeight="false" outlineLevel="0" collapsed="false">
      <c r="B81" s="12" t="s">
        <v>255</v>
      </c>
      <c r="C81" s="17" t="s">
        <v>256</v>
      </c>
      <c r="D81" s="17" t="s">
        <v>94</v>
      </c>
      <c r="E81" s="13" t="n">
        <v>10</v>
      </c>
      <c r="F81" s="13" t="n">
        <v>86462</v>
      </c>
      <c r="G81" s="13" t="n">
        <v>61866</v>
      </c>
      <c r="H81" s="18" t="n">
        <f aca="false">N(G81)-N(F81)</f>
        <v>-24596</v>
      </c>
      <c r="I81" s="13" t="n">
        <v>86799.9999</v>
      </c>
      <c r="J81" s="19" t="s">
        <v>257</v>
      </c>
    </row>
    <row r="82" customFormat="false" ht="15" hidden="false" customHeight="false" outlineLevel="0" collapsed="false">
      <c r="B82" s="12" t="s">
        <v>258</v>
      </c>
      <c r="C82" s="17" t="s">
        <v>259</v>
      </c>
      <c r="D82" s="17" t="s">
        <v>68</v>
      </c>
      <c r="E82" s="13" t="n">
        <v>10</v>
      </c>
      <c r="F82" s="13" t="n">
        <v>354</v>
      </c>
      <c r="G82" s="13" t="n">
        <v>324</v>
      </c>
      <c r="H82" s="18" t="n">
        <f aca="false">N(G82)-N(F82)</f>
        <v>-30</v>
      </c>
      <c r="I82" s="13" t="n">
        <v>354</v>
      </c>
      <c r="J82" s="19" t="s">
        <v>230</v>
      </c>
    </row>
    <row r="83" customFormat="false" ht="15" hidden="false" customHeight="false" outlineLevel="0" collapsed="false">
      <c r="B83" s="12" t="s">
        <v>260</v>
      </c>
      <c r="C83" s="17" t="s">
        <v>261</v>
      </c>
      <c r="D83" s="17" t="s">
        <v>68</v>
      </c>
      <c r="E83" s="13" t="n">
        <v>10</v>
      </c>
      <c r="F83" s="13" t="n">
        <v>177</v>
      </c>
      <c r="G83" s="13" t="n">
        <v>12</v>
      </c>
      <c r="H83" s="18" t="n">
        <f aca="false">N(G83)-N(F83)</f>
        <v>-165</v>
      </c>
      <c r="I83" s="13" t="n">
        <v>180</v>
      </c>
      <c r="J83" s="19" t="s">
        <v>262</v>
      </c>
    </row>
    <row r="84" customFormat="false" ht="15" hidden="false" customHeight="false" outlineLevel="0" collapsed="false">
      <c r="B84" s="12" t="s">
        <v>263</v>
      </c>
      <c r="C84" s="17" t="s">
        <v>264</v>
      </c>
      <c r="D84" s="17" t="s">
        <v>68</v>
      </c>
      <c r="E84" s="13" t="n">
        <v>10</v>
      </c>
      <c r="F84" s="13" t="n">
        <v>69</v>
      </c>
      <c r="G84" s="13" t="n">
        <v>100</v>
      </c>
      <c r="H84" s="18" t="n">
        <f aca="false">N(G84)-N(F84)</f>
        <v>31</v>
      </c>
      <c r="I84" s="13" t="n">
        <v>44</v>
      </c>
      <c r="J84" s="19" t="s">
        <v>254</v>
      </c>
    </row>
    <row r="85" customFormat="false" ht="15" hidden="false" customHeight="false" outlineLevel="0" collapsed="false">
      <c r="B85" s="12" t="s">
        <v>265</v>
      </c>
      <c r="C85" s="17" t="s">
        <v>266</v>
      </c>
      <c r="D85" s="17" t="s">
        <v>68</v>
      </c>
      <c r="E85" s="13" t="n">
        <v>10</v>
      </c>
      <c r="F85" s="13" t="n">
        <v>69</v>
      </c>
      <c r="G85" s="13" t="n">
        <v>78</v>
      </c>
      <c r="H85" s="18" t="n">
        <f aca="false">N(G85)-N(F85)</f>
        <v>9</v>
      </c>
      <c r="I85" s="13" t="n">
        <v>94</v>
      </c>
      <c r="J85" s="19" t="s">
        <v>267</v>
      </c>
    </row>
    <row r="86" customFormat="false" ht="15" hidden="false" customHeight="false" outlineLevel="0" collapsed="false">
      <c r="B86" s="12" t="s">
        <v>268</v>
      </c>
      <c r="C86" s="17" t="s">
        <v>269</v>
      </c>
      <c r="D86" s="17" t="s">
        <v>68</v>
      </c>
      <c r="E86" s="13" t="n">
        <v>9</v>
      </c>
      <c r="F86" s="13" t="n">
        <v>88</v>
      </c>
      <c r="G86" s="13" t="n">
        <v>40</v>
      </c>
      <c r="H86" s="18" t="n">
        <f aca="false">N(G86)-N(F86)</f>
        <v>-48</v>
      </c>
      <c r="I86" s="13" t="n">
        <v>100</v>
      </c>
      <c r="J86" s="19" t="s">
        <v>270</v>
      </c>
    </row>
    <row r="87" customFormat="false" ht="15" hidden="false" customHeight="false" outlineLevel="0" collapsed="false">
      <c r="B87" s="12" t="s">
        <v>271</v>
      </c>
      <c r="C87" s="17" t="s">
        <v>272</v>
      </c>
      <c r="D87" s="17"/>
      <c r="E87" s="13" t="n">
        <v>9</v>
      </c>
      <c r="F87" s="13" t="n">
        <v>50</v>
      </c>
      <c r="G87" s="13" t="n">
        <v>62</v>
      </c>
      <c r="H87" s="18" t="n">
        <f aca="false">N(G87)-N(F87)</f>
        <v>12</v>
      </c>
      <c r="I87" s="13"/>
      <c r="J87" s="19" t="s">
        <v>273</v>
      </c>
    </row>
    <row r="88" customFormat="false" ht="15" hidden="false" customHeight="false" outlineLevel="0" collapsed="false">
      <c r="B88" s="12" t="s">
        <v>274</v>
      </c>
      <c r="C88" s="17" t="s">
        <v>275</v>
      </c>
      <c r="D88" s="17" t="s">
        <v>68</v>
      </c>
      <c r="E88" s="13" t="n">
        <v>9</v>
      </c>
      <c r="F88" s="13" t="n">
        <v>0</v>
      </c>
      <c r="G88" s="13" t="n">
        <v>0</v>
      </c>
      <c r="H88" s="18" t="n">
        <f aca="false">N(G88)-N(F88)</f>
        <v>0</v>
      </c>
      <c r="I88" s="13" t="n">
        <v>360</v>
      </c>
      <c r="J88" s="19" t="s">
        <v>276</v>
      </c>
    </row>
    <row r="89" customFormat="false" ht="15" hidden="false" customHeight="false" outlineLevel="0" collapsed="false">
      <c r="B89" s="12" t="s">
        <v>277</v>
      </c>
      <c r="C89" s="17" t="s">
        <v>278</v>
      </c>
      <c r="D89" s="17" t="s">
        <v>68</v>
      </c>
      <c r="E89" s="13" t="n">
        <v>9</v>
      </c>
      <c r="F89" s="13" t="n">
        <v>246</v>
      </c>
      <c r="G89" s="13" t="n">
        <v>91</v>
      </c>
      <c r="H89" s="18" t="n">
        <f aca="false">N(G89)-N(F89)</f>
        <v>-155</v>
      </c>
      <c r="I89" s="13" t="n">
        <v>260</v>
      </c>
      <c r="J89" s="19" t="s">
        <v>279</v>
      </c>
    </row>
    <row r="90" customFormat="false" ht="15" hidden="false" customHeight="false" outlineLevel="0" collapsed="false">
      <c r="B90" s="12" t="s">
        <v>280</v>
      </c>
      <c r="C90" s="17" t="s">
        <v>227</v>
      </c>
      <c r="D90" s="17" t="s">
        <v>68</v>
      </c>
      <c r="E90" s="13" t="n">
        <v>9</v>
      </c>
      <c r="F90" s="13" t="n">
        <v>29</v>
      </c>
      <c r="G90" s="13" t="n">
        <v>28</v>
      </c>
      <c r="H90" s="18" t="n">
        <f aca="false">N(G90)-N(F90)</f>
        <v>-1</v>
      </c>
      <c r="I90" s="13" t="n">
        <v>26</v>
      </c>
      <c r="J90" s="19" t="s">
        <v>281</v>
      </c>
    </row>
    <row r="91" customFormat="false" ht="15" hidden="false" customHeight="false" outlineLevel="0" collapsed="false">
      <c r="B91" s="12" t="s">
        <v>282</v>
      </c>
      <c r="C91" s="17" t="s">
        <v>283</v>
      </c>
      <c r="D91" s="17"/>
      <c r="E91" s="13" t="n">
        <v>8</v>
      </c>
      <c r="F91" s="13" t="n">
        <v>350</v>
      </c>
      <c r="G91" s="13" t="n">
        <v>28</v>
      </c>
      <c r="H91" s="18" t="n">
        <f aca="false">N(G91)-N(F91)</f>
        <v>-322</v>
      </c>
      <c r="I91" s="13"/>
      <c r="J91" s="19" t="s">
        <v>284</v>
      </c>
    </row>
    <row r="92" customFormat="false" ht="15" hidden="false" customHeight="false" outlineLevel="0" collapsed="false">
      <c r="B92" s="12" t="s">
        <v>285</v>
      </c>
      <c r="C92" s="17" t="s">
        <v>286</v>
      </c>
      <c r="D92" s="17" t="s">
        <v>68</v>
      </c>
      <c r="E92" s="13" t="n">
        <v>8</v>
      </c>
      <c r="F92" s="13" t="n">
        <v>95</v>
      </c>
      <c r="G92" s="13" t="n">
        <v>89</v>
      </c>
      <c r="H92" s="18" t="n">
        <f aca="false">N(G92)-N(F92)</f>
        <v>-6</v>
      </c>
      <c r="I92" s="13" t="n">
        <v>192</v>
      </c>
      <c r="J92" s="19" t="s">
        <v>287</v>
      </c>
    </row>
    <row r="93" customFormat="false" ht="15" hidden="false" customHeight="false" outlineLevel="0" collapsed="false">
      <c r="B93" s="12" t="s">
        <v>288</v>
      </c>
      <c r="C93" s="17" t="s">
        <v>289</v>
      </c>
      <c r="D93" s="17" t="s">
        <v>68</v>
      </c>
      <c r="E93" s="13" t="n">
        <v>8</v>
      </c>
      <c r="F93" s="13" t="n">
        <v>172</v>
      </c>
      <c r="G93" s="13" t="n">
        <v>70</v>
      </c>
      <c r="H93" s="18" t="n">
        <f aca="false">N(G93)-N(F93)</f>
        <v>-102</v>
      </c>
      <c r="I93" s="13" t="n">
        <v>246</v>
      </c>
      <c r="J93" s="19" t="s">
        <v>290</v>
      </c>
    </row>
    <row r="94" customFormat="false" ht="15" hidden="false" customHeight="false" outlineLevel="0" collapsed="false">
      <c r="B94" s="12" t="s">
        <v>291</v>
      </c>
      <c r="C94" s="17" t="s">
        <v>292</v>
      </c>
      <c r="D94" s="17"/>
      <c r="E94" s="13" t="n">
        <v>8</v>
      </c>
      <c r="F94" s="13" t="n">
        <v>500</v>
      </c>
      <c r="G94" s="13" t="n">
        <v>3464</v>
      </c>
      <c r="H94" s="18" t="n">
        <f aca="false">N(G94)-N(F94)</f>
        <v>2964</v>
      </c>
      <c r="I94" s="13"/>
      <c r="J94" s="19" t="s">
        <v>293</v>
      </c>
    </row>
    <row r="95" customFormat="false" ht="15" hidden="false" customHeight="false" outlineLevel="0" collapsed="false">
      <c r="B95" s="12" t="s">
        <v>294</v>
      </c>
      <c r="C95" s="17" t="s">
        <v>295</v>
      </c>
      <c r="D95" s="17" t="s">
        <v>68</v>
      </c>
      <c r="E95" s="13" t="n">
        <v>8</v>
      </c>
      <c r="F95" s="13" t="n">
        <v>27</v>
      </c>
      <c r="G95" s="13" t="n">
        <v>14</v>
      </c>
      <c r="H95" s="18" t="n">
        <f aca="false">N(G95)-N(F95)</f>
        <v>-13</v>
      </c>
      <c r="I95" s="13" t="n">
        <v>20</v>
      </c>
      <c r="J95" s="19" t="s">
        <v>296</v>
      </c>
    </row>
    <row r="96" customFormat="false" ht="15" hidden="false" customHeight="false" outlineLevel="0" collapsed="false">
      <c r="B96" s="12" t="s">
        <v>297</v>
      </c>
      <c r="C96" s="17" t="s">
        <v>298</v>
      </c>
      <c r="D96" s="17" t="s">
        <v>68</v>
      </c>
      <c r="E96" s="13" t="n">
        <v>8</v>
      </c>
      <c r="F96" s="13" t="n">
        <v>57</v>
      </c>
      <c r="G96" s="13" t="n">
        <v>70</v>
      </c>
      <c r="H96" s="18" t="n">
        <f aca="false">N(G96)-N(F96)</f>
        <v>13</v>
      </c>
      <c r="I96" s="13" t="n">
        <v>57</v>
      </c>
      <c r="J96" s="19" t="s">
        <v>299</v>
      </c>
    </row>
    <row r="97" customFormat="false" ht="15" hidden="false" customHeight="false" outlineLevel="0" collapsed="false">
      <c r="B97" s="12" t="s">
        <v>300</v>
      </c>
      <c r="C97" s="17" t="s">
        <v>301</v>
      </c>
      <c r="D97" s="17"/>
      <c r="E97" s="13" t="n">
        <v>8</v>
      </c>
      <c r="F97" s="13" t="n">
        <v>0</v>
      </c>
      <c r="G97" s="13" t="n">
        <v>56</v>
      </c>
      <c r="H97" s="18" t="n">
        <f aca="false">N(G97)-N(F97)</f>
        <v>56</v>
      </c>
      <c r="I97" s="13"/>
      <c r="J97" s="19" t="s">
        <v>284</v>
      </c>
    </row>
    <row r="98" customFormat="false" ht="15" hidden="false" customHeight="false" outlineLevel="0" collapsed="false">
      <c r="B98" s="12" t="s">
        <v>302</v>
      </c>
      <c r="C98" s="17" t="s">
        <v>133</v>
      </c>
      <c r="D98" s="17" t="s">
        <v>68</v>
      </c>
      <c r="E98" s="13" t="n">
        <v>8</v>
      </c>
      <c r="F98" s="13" t="n">
        <v>183</v>
      </c>
      <c r="G98" s="13" t="n">
        <v>126</v>
      </c>
      <c r="H98" s="18" t="n">
        <f aca="false">N(G98)-N(F98)</f>
        <v>-57</v>
      </c>
      <c r="I98" s="13" t="n">
        <v>220</v>
      </c>
      <c r="J98" s="19" t="s">
        <v>303</v>
      </c>
    </row>
    <row r="99" customFormat="false" ht="15" hidden="false" customHeight="false" outlineLevel="0" collapsed="false">
      <c r="B99" s="12" t="s">
        <v>304</v>
      </c>
      <c r="C99" s="17" t="s">
        <v>305</v>
      </c>
      <c r="D99" s="17" t="s">
        <v>68</v>
      </c>
      <c r="E99" s="13" t="n">
        <v>8</v>
      </c>
      <c r="F99" s="13" t="n">
        <v>132</v>
      </c>
      <c r="G99" s="13" t="n">
        <v>150</v>
      </c>
      <c r="H99" s="18" t="n">
        <f aca="false">N(G99)-N(F99)</f>
        <v>18</v>
      </c>
      <c r="I99" s="13" t="n">
        <v>132</v>
      </c>
      <c r="J99" s="19" t="s">
        <v>306</v>
      </c>
    </row>
    <row r="100" customFormat="false" ht="15" hidden="false" customHeight="false" outlineLevel="0" collapsed="false">
      <c r="B100" s="12" t="s">
        <v>307</v>
      </c>
      <c r="C100" s="17" t="s">
        <v>308</v>
      </c>
      <c r="D100" s="17" t="s">
        <v>68</v>
      </c>
      <c r="E100" s="13" t="n">
        <v>8</v>
      </c>
      <c r="F100" s="13" t="n">
        <v>89</v>
      </c>
      <c r="G100" s="13" t="n">
        <v>0</v>
      </c>
      <c r="H100" s="18" t="n">
        <f aca="false">N(G100)-N(F100)</f>
        <v>-89</v>
      </c>
      <c r="I100" s="13" t="n">
        <v>100</v>
      </c>
      <c r="J100" s="19" t="s">
        <v>309</v>
      </c>
    </row>
    <row r="101" customFormat="false" ht="15" hidden="false" customHeight="false" outlineLevel="0" collapsed="false">
      <c r="B101" s="12" t="s">
        <v>310</v>
      </c>
      <c r="C101" s="17" t="s">
        <v>311</v>
      </c>
      <c r="D101" s="17" t="s">
        <v>68</v>
      </c>
      <c r="E101" s="13" t="n">
        <v>8</v>
      </c>
      <c r="F101" s="13" t="n">
        <v>62</v>
      </c>
      <c r="G101" s="13" t="n">
        <v>43</v>
      </c>
      <c r="H101" s="18" t="n">
        <f aca="false">N(G101)-N(F101)</f>
        <v>-19</v>
      </c>
      <c r="I101" s="13" t="n">
        <v>62</v>
      </c>
      <c r="J101" s="19" t="s">
        <v>290</v>
      </c>
    </row>
    <row r="102" customFormat="false" ht="15" hidden="false" customHeight="false" outlineLevel="0" collapsed="false">
      <c r="B102" s="12" t="s">
        <v>312</v>
      </c>
      <c r="C102" s="17" t="s">
        <v>160</v>
      </c>
      <c r="D102" s="17" t="s">
        <v>68</v>
      </c>
      <c r="E102" s="13" t="n">
        <v>8</v>
      </c>
      <c r="F102" s="13" t="n">
        <v>25</v>
      </c>
      <c r="G102" s="13" t="n">
        <v>32</v>
      </c>
      <c r="H102" s="18" t="n">
        <f aca="false">N(G102)-N(F102)</f>
        <v>7</v>
      </c>
      <c r="I102" s="13" t="n">
        <v>34</v>
      </c>
      <c r="J102" s="19" t="s">
        <v>313</v>
      </c>
    </row>
    <row r="103" customFormat="false" ht="15" hidden="false" customHeight="false" outlineLevel="0" collapsed="false">
      <c r="B103" s="12" t="s">
        <v>314</v>
      </c>
      <c r="C103" s="17" t="s">
        <v>160</v>
      </c>
      <c r="D103" s="17" t="s">
        <v>68</v>
      </c>
      <c r="E103" s="13" t="n">
        <v>8</v>
      </c>
      <c r="F103" s="13" t="n">
        <v>25</v>
      </c>
      <c r="G103" s="13" t="n">
        <v>17</v>
      </c>
      <c r="H103" s="18" t="n">
        <f aca="false">N(G103)-N(F103)</f>
        <v>-8</v>
      </c>
      <c r="I103" s="13" t="n">
        <v>35</v>
      </c>
      <c r="J103" s="19" t="s">
        <v>315</v>
      </c>
    </row>
    <row r="104" customFormat="false" ht="15" hidden="false" customHeight="false" outlineLevel="0" collapsed="false">
      <c r="B104" s="12" t="s">
        <v>316</v>
      </c>
      <c r="C104" s="17" t="s">
        <v>317</v>
      </c>
      <c r="D104" s="17"/>
      <c r="E104" s="13" t="n">
        <v>7</v>
      </c>
      <c r="F104" s="13" t="n">
        <v>300</v>
      </c>
      <c r="G104" s="13" t="n">
        <v>704</v>
      </c>
      <c r="H104" s="18" t="n">
        <f aca="false">N(G104)-N(F104)</f>
        <v>404</v>
      </c>
      <c r="I104" s="13"/>
      <c r="J104" s="19" t="s">
        <v>318</v>
      </c>
    </row>
    <row r="105" customFormat="false" ht="15" hidden="false" customHeight="false" outlineLevel="0" collapsed="false">
      <c r="B105" s="12" t="s">
        <v>319</v>
      </c>
      <c r="C105" s="17" t="s">
        <v>320</v>
      </c>
      <c r="D105" s="17" t="s">
        <v>68</v>
      </c>
      <c r="E105" s="13" t="n">
        <v>7</v>
      </c>
      <c r="F105" s="13" t="n">
        <v>0</v>
      </c>
      <c r="G105" s="13" t="n">
        <v>27</v>
      </c>
      <c r="H105" s="18" t="n">
        <f aca="false">N(G105)-N(F105)</f>
        <v>27</v>
      </c>
      <c r="I105" s="13" t="n">
        <v>26</v>
      </c>
      <c r="J105" s="19" t="s">
        <v>321</v>
      </c>
    </row>
    <row r="106" customFormat="false" ht="15" hidden="false" customHeight="false" outlineLevel="0" collapsed="false">
      <c r="B106" s="12" t="s">
        <v>322</v>
      </c>
      <c r="C106" s="17" t="s">
        <v>323</v>
      </c>
      <c r="D106" s="17"/>
      <c r="E106" s="13" t="n">
        <v>7</v>
      </c>
      <c r="F106" s="13" t="n">
        <v>650</v>
      </c>
      <c r="G106" s="13" t="n">
        <v>28</v>
      </c>
      <c r="H106" s="18" t="n">
        <f aca="false">N(G106)-N(F106)</f>
        <v>-622</v>
      </c>
      <c r="I106" s="13"/>
      <c r="J106" s="19" t="s">
        <v>324</v>
      </c>
    </row>
    <row r="107" customFormat="false" ht="15" hidden="false" customHeight="false" outlineLevel="0" collapsed="false">
      <c r="B107" s="12" t="s">
        <v>325</v>
      </c>
      <c r="C107" s="17" t="s">
        <v>326</v>
      </c>
      <c r="D107" s="17" t="s">
        <v>68</v>
      </c>
      <c r="E107" s="13" t="n">
        <v>7</v>
      </c>
      <c r="F107" s="13" t="n">
        <v>119</v>
      </c>
      <c r="G107" s="13" t="n">
        <v>107</v>
      </c>
      <c r="H107" s="18" t="n">
        <f aca="false">N(G107)-N(F107)</f>
        <v>-12</v>
      </c>
      <c r="I107" s="13" t="n">
        <v>150</v>
      </c>
      <c r="J107" s="19" t="s">
        <v>321</v>
      </c>
    </row>
    <row r="108" customFormat="false" ht="15" hidden="false" customHeight="false" outlineLevel="0" collapsed="false">
      <c r="B108" s="12" t="s">
        <v>327</v>
      </c>
      <c r="C108" s="17" t="s">
        <v>328</v>
      </c>
      <c r="D108" s="17" t="s">
        <v>68</v>
      </c>
      <c r="E108" s="13" t="n">
        <v>7</v>
      </c>
      <c r="F108" s="13" t="n">
        <v>30</v>
      </c>
      <c r="G108" s="13" t="n">
        <v>36</v>
      </c>
      <c r="H108" s="18" t="n">
        <f aca="false">N(G108)-N(F108)</f>
        <v>6</v>
      </c>
      <c r="I108" s="13" t="n">
        <v>30</v>
      </c>
      <c r="J108" s="19" t="s">
        <v>318</v>
      </c>
    </row>
    <row r="109" customFormat="false" ht="15" hidden="false" customHeight="false" outlineLevel="0" collapsed="false">
      <c r="B109" s="12" t="s">
        <v>329</v>
      </c>
      <c r="C109" s="17" t="s">
        <v>330</v>
      </c>
      <c r="D109" s="17"/>
      <c r="E109" s="13" t="n">
        <v>7</v>
      </c>
      <c r="F109" s="13" t="n">
        <v>0</v>
      </c>
      <c r="G109" s="13" t="n">
        <v>126</v>
      </c>
      <c r="H109" s="18" t="n">
        <f aca="false">N(G109)-N(F109)</f>
        <v>126</v>
      </c>
      <c r="I109" s="13"/>
      <c r="J109" s="19" t="s">
        <v>331</v>
      </c>
    </row>
    <row r="110" customFormat="false" ht="15" hidden="false" customHeight="false" outlineLevel="0" collapsed="false">
      <c r="B110" s="12" t="s">
        <v>332</v>
      </c>
      <c r="C110" s="17" t="s">
        <v>333</v>
      </c>
      <c r="D110" s="17" t="s">
        <v>68</v>
      </c>
      <c r="E110" s="13" t="n">
        <v>7</v>
      </c>
      <c r="F110" s="13" t="n">
        <v>75</v>
      </c>
      <c r="G110" s="13" t="n">
        <v>126</v>
      </c>
      <c r="H110" s="18" t="n">
        <f aca="false">N(G110)-N(F110)</f>
        <v>51</v>
      </c>
      <c r="I110" s="13" t="n">
        <v>75</v>
      </c>
      <c r="J110" s="19" t="s">
        <v>331</v>
      </c>
    </row>
    <row r="111" customFormat="false" ht="15" hidden="false" customHeight="false" outlineLevel="0" collapsed="false">
      <c r="B111" s="12" t="s">
        <v>334</v>
      </c>
      <c r="C111" s="17" t="s">
        <v>335</v>
      </c>
      <c r="D111" s="17" t="s">
        <v>68</v>
      </c>
      <c r="E111" s="13" t="n">
        <v>7</v>
      </c>
      <c r="F111" s="13" t="n">
        <v>76</v>
      </c>
      <c r="G111" s="13" t="n">
        <v>80</v>
      </c>
      <c r="H111" s="18" t="n">
        <f aca="false">N(G111)-N(F111)</f>
        <v>4</v>
      </c>
      <c r="I111" s="13" t="n">
        <v>71</v>
      </c>
      <c r="J111" s="19" t="s">
        <v>318</v>
      </c>
    </row>
    <row r="112" customFormat="false" ht="15" hidden="false" customHeight="false" outlineLevel="0" collapsed="false">
      <c r="B112" s="12" t="s">
        <v>336</v>
      </c>
      <c r="C112" s="17" t="s">
        <v>337</v>
      </c>
      <c r="D112" s="17" t="s">
        <v>68</v>
      </c>
      <c r="E112" s="13" t="n">
        <v>7</v>
      </c>
      <c r="F112" s="13" t="n">
        <v>30</v>
      </c>
      <c r="G112" s="13" t="n">
        <v>120</v>
      </c>
      <c r="H112" s="18" t="n">
        <f aca="false">N(G112)-N(F112)</f>
        <v>90</v>
      </c>
      <c r="I112" s="13" t="n">
        <v>30</v>
      </c>
      <c r="J112" s="19" t="s">
        <v>321</v>
      </c>
    </row>
    <row r="113" customFormat="false" ht="15" hidden="false" customHeight="false" outlineLevel="0" collapsed="false">
      <c r="B113" s="12" t="s">
        <v>338</v>
      </c>
      <c r="C113" s="17" t="s">
        <v>339</v>
      </c>
      <c r="D113" s="17" t="s">
        <v>68</v>
      </c>
      <c r="E113" s="13" t="n">
        <v>7</v>
      </c>
      <c r="F113" s="13" t="n">
        <v>52</v>
      </c>
      <c r="G113" s="13" t="n">
        <v>52</v>
      </c>
      <c r="H113" s="18" t="n">
        <f aca="false">N(G113)-N(F113)</f>
        <v>0</v>
      </c>
      <c r="I113" s="13" t="n">
        <v>139</v>
      </c>
      <c r="J113" s="19" t="s">
        <v>321</v>
      </c>
    </row>
    <row r="114" customFormat="false" ht="15" hidden="false" customHeight="false" outlineLevel="0" collapsed="false">
      <c r="B114" s="12" t="s">
        <v>340</v>
      </c>
      <c r="C114" s="17" t="s">
        <v>341</v>
      </c>
      <c r="D114" s="17" t="s">
        <v>68</v>
      </c>
      <c r="E114" s="13" t="n">
        <v>7</v>
      </c>
      <c r="F114" s="13" t="n">
        <v>114</v>
      </c>
      <c r="G114" s="13" t="n">
        <v>52</v>
      </c>
      <c r="H114" s="18" t="n">
        <f aca="false">N(G114)-N(F114)</f>
        <v>-62</v>
      </c>
      <c r="I114" s="13" t="n">
        <v>120</v>
      </c>
      <c r="J114" s="19" t="s">
        <v>321</v>
      </c>
    </row>
    <row r="115" customFormat="false" ht="15" hidden="false" customHeight="false" outlineLevel="0" collapsed="false">
      <c r="B115" s="12" t="s">
        <v>342</v>
      </c>
      <c r="C115" s="17" t="s">
        <v>343</v>
      </c>
      <c r="D115" s="17" t="s">
        <v>68</v>
      </c>
      <c r="E115" s="13" t="n">
        <v>7</v>
      </c>
      <c r="F115" s="13" t="n">
        <v>32</v>
      </c>
      <c r="G115" s="13" t="n">
        <v>43</v>
      </c>
      <c r="H115" s="18" t="n">
        <f aca="false">N(G115)-N(F115)</f>
        <v>11</v>
      </c>
      <c r="I115" s="13" t="n">
        <v>32</v>
      </c>
      <c r="J115" s="19" t="s">
        <v>344</v>
      </c>
    </row>
    <row r="116" customFormat="false" ht="15" hidden="false" customHeight="false" outlineLevel="0" collapsed="false">
      <c r="B116" s="12" t="s">
        <v>345</v>
      </c>
      <c r="C116" s="17" t="s">
        <v>346</v>
      </c>
      <c r="D116" s="17"/>
      <c r="E116" s="13" t="n">
        <v>7</v>
      </c>
      <c r="F116" s="13" t="n">
        <v>12</v>
      </c>
      <c r="G116" s="13" t="n">
        <v>160</v>
      </c>
      <c r="H116" s="18" t="n">
        <f aca="false">N(G116)-N(F116)</f>
        <v>148</v>
      </c>
      <c r="I116" s="13"/>
      <c r="J116" s="19" t="s">
        <v>318</v>
      </c>
    </row>
    <row r="117" customFormat="false" ht="15" hidden="false" customHeight="false" outlineLevel="0" collapsed="false">
      <c r="B117" s="12" t="s">
        <v>347</v>
      </c>
      <c r="C117" s="17" t="s">
        <v>348</v>
      </c>
      <c r="D117" s="17" t="s">
        <v>94</v>
      </c>
      <c r="E117" s="13" t="n">
        <v>7</v>
      </c>
      <c r="F117" s="13" t="n">
        <v>465</v>
      </c>
      <c r="G117" s="13" t="n">
        <v>680</v>
      </c>
      <c r="H117" s="18" t="n">
        <f aca="false">N(G117)-N(F117)</f>
        <v>215</v>
      </c>
      <c r="I117" s="13" t="n">
        <v>950</v>
      </c>
      <c r="J117" s="19" t="s">
        <v>349</v>
      </c>
    </row>
    <row r="118" customFormat="false" ht="15" hidden="false" customHeight="false" outlineLevel="0" collapsed="false">
      <c r="B118" s="12" t="s">
        <v>350</v>
      </c>
      <c r="C118" s="17" t="s">
        <v>351</v>
      </c>
      <c r="D118" s="17" t="s">
        <v>68</v>
      </c>
      <c r="E118" s="13" t="n">
        <v>7</v>
      </c>
      <c r="F118" s="13" t="n">
        <v>139</v>
      </c>
      <c r="G118" s="13" t="n">
        <v>0</v>
      </c>
      <c r="H118" s="18" t="n">
        <f aca="false">N(G118)-N(F118)</f>
        <v>-139</v>
      </c>
      <c r="I118" s="13" t="n">
        <v>139</v>
      </c>
      <c r="J118" s="19" t="s">
        <v>331</v>
      </c>
    </row>
    <row r="119" customFormat="false" ht="15" hidden="false" customHeight="false" outlineLevel="0" collapsed="false">
      <c r="B119" s="12" t="s">
        <v>352</v>
      </c>
      <c r="C119" s="17" t="s">
        <v>353</v>
      </c>
      <c r="D119" s="17" t="s">
        <v>68</v>
      </c>
      <c r="E119" s="13" t="n">
        <v>7</v>
      </c>
      <c r="F119" s="13" t="n">
        <v>102</v>
      </c>
      <c r="G119" s="13" t="n">
        <v>160</v>
      </c>
      <c r="H119" s="18" t="n">
        <f aca="false">N(G119)-N(F119)</f>
        <v>58</v>
      </c>
      <c r="I119" s="13" t="n">
        <v>102</v>
      </c>
      <c r="J119" s="19" t="s">
        <v>318</v>
      </c>
    </row>
    <row r="120" customFormat="false" ht="15" hidden="false" customHeight="false" outlineLevel="0" collapsed="false">
      <c r="B120" s="12" t="s">
        <v>354</v>
      </c>
      <c r="C120" s="17" t="s">
        <v>355</v>
      </c>
      <c r="D120" s="17" t="s">
        <v>68</v>
      </c>
      <c r="E120" s="13" t="n">
        <v>7</v>
      </c>
      <c r="F120" s="13" t="n">
        <v>62</v>
      </c>
      <c r="G120" s="13" t="n">
        <v>55</v>
      </c>
      <c r="H120" s="18" t="n">
        <f aca="false">N(G120)-N(F120)</f>
        <v>-7</v>
      </c>
      <c r="I120" s="13" t="n">
        <v>60</v>
      </c>
      <c r="J120" s="19" t="s">
        <v>321</v>
      </c>
    </row>
    <row r="121" customFormat="false" ht="15" hidden="false" customHeight="false" outlineLevel="0" collapsed="false">
      <c r="B121" s="12" t="s">
        <v>356</v>
      </c>
      <c r="C121" s="17" t="s">
        <v>357</v>
      </c>
      <c r="D121" s="17" t="s">
        <v>68</v>
      </c>
      <c r="E121" s="13" t="n">
        <v>7</v>
      </c>
      <c r="F121" s="13" t="n">
        <v>20</v>
      </c>
      <c r="G121" s="13" t="n">
        <v>29</v>
      </c>
      <c r="H121" s="18" t="n">
        <f aca="false">N(G121)-N(F121)</f>
        <v>9</v>
      </c>
      <c r="I121" s="13" t="n">
        <v>22</v>
      </c>
      <c r="J121" s="19" t="s">
        <v>358</v>
      </c>
    </row>
    <row r="122" customFormat="false" ht="15" hidden="false" customHeight="false" outlineLevel="0" collapsed="false">
      <c r="B122" s="12" t="s">
        <v>359</v>
      </c>
      <c r="C122" s="17" t="s">
        <v>360</v>
      </c>
      <c r="D122" s="17" t="s">
        <v>68</v>
      </c>
      <c r="E122" s="13" t="n">
        <v>7</v>
      </c>
      <c r="F122" s="13" t="n">
        <v>52</v>
      </c>
      <c r="G122" s="13" t="n">
        <v>52</v>
      </c>
      <c r="H122" s="18" t="n">
        <f aca="false">N(G122)-N(F122)</f>
        <v>0</v>
      </c>
      <c r="I122" s="13" t="n">
        <v>25</v>
      </c>
      <c r="J122" s="19" t="s">
        <v>321</v>
      </c>
    </row>
    <row r="123" customFormat="false" ht="15" hidden="false" customHeight="false" outlineLevel="0" collapsed="false">
      <c r="B123" s="12" t="s">
        <v>361</v>
      </c>
      <c r="C123" s="17" t="s">
        <v>362</v>
      </c>
      <c r="D123" s="17"/>
      <c r="E123" s="13" t="n">
        <v>7</v>
      </c>
      <c r="F123" s="13" t="n">
        <v>0</v>
      </c>
      <c r="G123" s="13" t="n">
        <v>81</v>
      </c>
      <c r="H123" s="18" t="n">
        <f aca="false">N(G123)-N(F123)</f>
        <v>81</v>
      </c>
      <c r="I123" s="13"/>
      <c r="J123" s="19" t="s">
        <v>363</v>
      </c>
    </row>
    <row r="124" customFormat="false" ht="15" hidden="false" customHeight="false" outlineLevel="0" collapsed="false">
      <c r="B124" s="12" t="s">
        <v>364</v>
      </c>
      <c r="C124" s="17" t="s">
        <v>365</v>
      </c>
      <c r="D124" s="17" t="s">
        <v>68</v>
      </c>
      <c r="E124" s="13" t="n">
        <v>7</v>
      </c>
      <c r="F124" s="13" t="n">
        <v>132</v>
      </c>
      <c r="G124" s="13" t="n">
        <v>126</v>
      </c>
      <c r="H124" s="18" t="n">
        <f aca="false">N(G124)-N(F124)</f>
        <v>-6</v>
      </c>
      <c r="I124" s="13" t="n">
        <v>132</v>
      </c>
      <c r="J124" s="19" t="s">
        <v>331</v>
      </c>
    </row>
    <row r="125" customFormat="false" ht="15" hidden="false" customHeight="false" outlineLevel="0" collapsed="false">
      <c r="B125" s="12" t="s">
        <v>366</v>
      </c>
      <c r="C125" s="17" t="s">
        <v>367</v>
      </c>
      <c r="D125" s="17" t="s">
        <v>68</v>
      </c>
      <c r="E125" s="13" t="n">
        <v>6</v>
      </c>
      <c r="F125" s="13" t="n">
        <v>31</v>
      </c>
      <c r="G125" s="13" t="n">
        <v>18</v>
      </c>
      <c r="H125" s="18" t="n">
        <f aca="false">N(G125)-N(F125)</f>
        <v>-13</v>
      </c>
      <c r="I125" s="13" t="n">
        <v>31</v>
      </c>
      <c r="J125" s="19" t="s">
        <v>368</v>
      </c>
    </row>
    <row r="126" customFormat="false" ht="15" hidden="false" customHeight="false" outlineLevel="0" collapsed="false">
      <c r="B126" s="12" t="s">
        <v>369</v>
      </c>
      <c r="C126" s="17" t="s">
        <v>370</v>
      </c>
      <c r="D126" s="17"/>
      <c r="E126" s="13" t="n">
        <v>6</v>
      </c>
      <c r="F126" s="13" t="n">
        <v>0</v>
      </c>
      <c r="G126" s="13" t="n">
        <v>36</v>
      </c>
      <c r="H126" s="18" t="n">
        <f aca="false">N(G126)-N(F126)</f>
        <v>36</v>
      </c>
      <c r="I126" s="13"/>
      <c r="J126" s="19" t="s">
        <v>371</v>
      </c>
    </row>
    <row r="127" customFormat="false" ht="15" hidden="false" customHeight="false" outlineLevel="0" collapsed="false">
      <c r="B127" s="12" t="s">
        <v>372</v>
      </c>
      <c r="C127" s="17" t="s">
        <v>373</v>
      </c>
      <c r="D127" s="17" t="s">
        <v>68</v>
      </c>
      <c r="E127" s="13" t="n">
        <v>6</v>
      </c>
      <c r="F127" s="13" t="n">
        <v>6</v>
      </c>
      <c r="G127" s="13" t="n">
        <v>14</v>
      </c>
      <c r="H127" s="18" t="n">
        <f aca="false">N(G127)-N(F127)</f>
        <v>8</v>
      </c>
      <c r="I127" s="13" t="n">
        <v>8</v>
      </c>
      <c r="J127" s="19" t="s">
        <v>374</v>
      </c>
    </row>
    <row r="128" customFormat="false" ht="15" hidden="false" customHeight="false" outlineLevel="0" collapsed="false">
      <c r="B128" s="12" t="s">
        <v>375</v>
      </c>
      <c r="C128" s="17" t="s">
        <v>376</v>
      </c>
      <c r="D128" s="17" t="s">
        <v>68</v>
      </c>
      <c r="E128" s="13" t="n">
        <v>6</v>
      </c>
      <c r="F128" s="13" t="n">
        <v>65</v>
      </c>
      <c r="G128" s="13" t="n">
        <v>48</v>
      </c>
      <c r="H128" s="18" t="n">
        <f aca="false">N(G128)-N(F128)</f>
        <v>-17</v>
      </c>
      <c r="I128" s="13" t="n">
        <v>65</v>
      </c>
      <c r="J128" s="19" t="s">
        <v>377</v>
      </c>
    </row>
    <row r="129" customFormat="false" ht="15" hidden="false" customHeight="false" outlineLevel="0" collapsed="false">
      <c r="B129" s="12" t="s">
        <v>378</v>
      </c>
      <c r="C129" s="17" t="s">
        <v>379</v>
      </c>
      <c r="D129" s="17"/>
      <c r="E129" s="13" t="n">
        <v>6</v>
      </c>
      <c r="F129" s="13" t="n">
        <v>0</v>
      </c>
      <c r="G129" s="13" t="n">
        <v>22</v>
      </c>
      <c r="H129" s="18" t="n">
        <f aca="false">N(G129)-N(F129)</f>
        <v>22</v>
      </c>
      <c r="I129" s="13"/>
      <c r="J129" s="19" t="s">
        <v>371</v>
      </c>
    </row>
    <row r="130" customFormat="false" ht="15" hidden="false" customHeight="false" outlineLevel="0" collapsed="false">
      <c r="B130" s="12" t="s">
        <v>380</v>
      </c>
      <c r="C130" s="17" t="s">
        <v>381</v>
      </c>
      <c r="D130" s="17" t="s">
        <v>68</v>
      </c>
      <c r="E130" s="13" t="n">
        <v>6</v>
      </c>
      <c r="F130" s="13" t="n">
        <v>78</v>
      </c>
      <c r="G130" s="13" t="n">
        <v>0</v>
      </c>
      <c r="H130" s="18" t="n">
        <f aca="false">N(G130)-N(F130)</f>
        <v>-78</v>
      </c>
      <c r="I130" s="13" t="n">
        <v>80</v>
      </c>
      <c r="J130" s="19" t="s">
        <v>382</v>
      </c>
    </row>
    <row r="131" customFormat="false" ht="15" hidden="false" customHeight="false" outlineLevel="0" collapsed="false">
      <c r="B131" s="12" t="s">
        <v>383</v>
      </c>
      <c r="C131" s="17" t="s">
        <v>384</v>
      </c>
      <c r="D131" s="17" t="s">
        <v>68</v>
      </c>
      <c r="E131" s="13" t="n">
        <v>5</v>
      </c>
      <c r="F131" s="13" t="n">
        <v>15</v>
      </c>
      <c r="G131" s="13" t="n">
        <v>19</v>
      </c>
      <c r="H131" s="18" t="n">
        <f aca="false">N(G131)-N(F131)</f>
        <v>4</v>
      </c>
      <c r="I131" s="13" t="n">
        <v>19</v>
      </c>
      <c r="J131" s="19" t="s">
        <v>385</v>
      </c>
    </row>
    <row r="132" customFormat="false" ht="15" hidden="false" customHeight="false" outlineLevel="0" collapsed="false">
      <c r="B132" s="12" t="s">
        <v>386</v>
      </c>
      <c r="C132" s="17" t="s">
        <v>387</v>
      </c>
      <c r="D132" s="17" t="s">
        <v>68</v>
      </c>
      <c r="E132" s="13" t="n">
        <v>5</v>
      </c>
      <c r="F132" s="13" t="n">
        <v>1</v>
      </c>
      <c r="G132" s="13" t="n">
        <v>4</v>
      </c>
      <c r="H132" s="18" t="n">
        <f aca="false">N(G132)-N(F132)</f>
        <v>3</v>
      </c>
      <c r="I132" s="13" t="n">
        <v>5</v>
      </c>
      <c r="J132" s="19" t="s">
        <v>388</v>
      </c>
    </row>
    <row r="133" customFormat="false" ht="15" hidden="false" customHeight="false" outlineLevel="0" collapsed="false">
      <c r="B133" s="12" t="s">
        <v>389</v>
      </c>
      <c r="C133" s="17" t="s">
        <v>390</v>
      </c>
      <c r="D133" s="17" t="s">
        <v>68</v>
      </c>
      <c r="E133" s="13" t="n">
        <v>5</v>
      </c>
      <c r="F133" s="13" t="n">
        <v>0</v>
      </c>
      <c r="G133" s="13" t="n">
        <v>35</v>
      </c>
      <c r="H133" s="18" t="n">
        <f aca="false">N(G133)-N(F133)</f>
        <v>35</v>
      </c>
      <c r="I133" s="13" t="n">
        <v>43</v>
      </c>
      <c r="J133" s="19" t="s">
        <v>391</v>
      </c>
    </row>
    <row r="134" customFormat="false" ht="15" hidden="false" customHeight="false" outlineLevel="0" collapsed="false">
      <c r="B134" s="12" t="s">
        <v>392</v>
      </c>
      <c r="C134" s="17" t="s">
        <v>393</v>
      </c>
      <c r="D134" s="17" t="s">
        <v>68</v>
      </c>
      <c r="E134" s="13" t="n">
        <v>5</v>
      </c>
      <c r="F134" s="13" t="n">
        <v>24</v>
      </c>
      <c r="G134" s="13" t="n">
        <v>16</v>
      </c>
      <c r="H134" s="18" t="n">
        <f aca="false">N(G134)-N(F134)</f>
        <v>-8</v>
      </c>
      <c r="I134" s="13" t="n">
        <v>24</v>
      </c>
      <c r="J134" s="19" t="s">
        <v>394</v>
      </c>
    </row>
    <row r="135" customFormat="false" ht="15" hidden="false" customHeight="false" outlineLevel="0" collapsed="false">
      <c r="B135" s="12" t="s">
        <v>395</v>
      </c>
      <c r="C135" s="17" t="s">
        <v>396</v>
      </c>
      <c r="D135" s="17" t="s">
        <v>68</v>
      </c>
      <c r="E135" s="13" t="n">
        <v>5</v>
      </c>
      <c r="F135" s="13" t="n">
        <v>0</v>
      </c>
      <c r="G135" s="13" t="n">
        <v>11</v>
      </c>
      <c r="H135" s="18" t="n">
        <f aca="false">N(G135)-N(F135)</f>
        <v>11</v>
      </c>
      <c r="I135" s="13" t="n">
        <v>7</v>
      </c>
      <c r="J135" s="19" t="s">
        <v>397</v>
      </c>
    </row>
    <row r="136" customFormat="false" ht="15" hidden="false" customHeight="false" outlineLevel="0" collapsed="false">
      <c r="B136" s="12" t="s">
        <v>398</v>
      </c>
      <c r="C136" s="17" t="s">
        <v>399</v>
      </c>
      <c r="D136" s="17" t="s">
        <v>68</v>
      </c>
      <c r="E136" s="13" t="n">
        <v>5</v>
      </c>
      <c r="F136" s="13" t="n">
        <v>45</v>
      </c>
      <c r="G136" s="13" t="n">
        <v>84</v>
      </c>
      <c r="H136" s="18" t="n">
        <f aca="false">N(G136)-N(F136)</f>
        <v>39</v>
      </c>
      <c r="I136" s="13" t="n">
        <v>120</v>
      </c>
      <c r="J136" s="19" t="s">
        <v>400</v>
      </c>
    </row>
    <row r="137" customFormat="false" ht="15" hidden="false" customHeight="false" outlineLevel="0" collapsed="false">
      <c r="B137" s="12" t="s">
        <v>401</v>
      </c>
      <c r="C137" s="17" t="s">
        <v>402</v>
      </c>
      <c r="D137" s="17" t="s">
        <v>68</v>
      </c>
      <c r="E137" s="13" t="n">
        <v>5</v>
      </c>
      <c r="F137" s="13" t="n">
        <v>0</v>
      </c>
      <c r="G137" s="13" t="n">
        <v>15</v>
      </c>
      <c r="H137" s="18" t="n">
        <f aca="false">N(G137)-N(F137)</f>
        <v>15</v>
      </c>
      <c r="I137" s="13" t="n">
        <v>11</v>
      </c>
      <c r="J137" s="19" t="s">
        <v>403</v>
      </c>
    </row>
    <row r="138" customFormat="false" ht="15" hidden="false" customHeight="false" outlineLevel="0" collapsed="false">
      <c r="B138" s="12" t="s">
        <v>404</v>
      </c>
      <c r="C138" s="17" t="s">
        <v>405</v>
      </c>
      <c r="D138" s="17" t="s">
        <v>68</v>
      </c>
      <c r="E138" s="13" t="n">
        <v>5</v>
      </c>
      <c r="F138" s="13" t="n">
        <v>23</v>
      </c>
      <c r="G138" s="13" t="n">
        <v>11</v>
      </c>
      <c r="H138" s="18" t="n">
        <f aca="false">N(G138)-N(F138)</f>
        <v>-12</v>
      </c>
      <c r="I138" s="13" t="n">
        <v>23</v>
      </c>
      <c r="J138" s="19" t="s">
        <v>406</v>
      </c>
    </row>
    <row r="139" customFormat="false" ht="15" hidden="false" customHeight="false" outlineLevel="0" collapsed="false">
      <c r="B139" s="12" t="s">
        <v>407</v>
      </c>
      <c r="C139" s="17" t="s">
        <v>408</v>
      </c>
      <c r="D139" s="17" t="s">
        <v>68</v>
      </c>
      <c r="E139" s="13" t="n">
        <v>5</v>
      </c>
      <c r="F139" s="13" t="n">
        <v>150</v>
      </c>
      <c r="G139" s="13" t="n">
        <v>303</v>
      </c>
      <c r="H139" s="18" t="n">
        <f aca="false">N(G139)-N(F139)</f>
        <v>153</v>
      </c>
      <c r="I139" s="13" t="n">
        <v>150</v>
      </c>
      <c r="J139" s="19" t="s">
        <v>409</v>
      </c>
    </row>
    <row r="140" customFormat="false" ht="15" hidden="false" customHeight="false" outlineLevel="0" collapsed="false">
      <c r="B140" s="12" t="s">
        <v>410</v>
      </c>
      <c r="C140" s="17" t="s">
        <v>411</v>
      </c>
      <c r="D140" s="17" t="s">
        <v>94</v>
      </c>
      <c r="E140" s="13" t="n">
        <v>4</v>
      </c>
      <c r="F140" s="13" t="n">
        <v>100</v>
      </c>
      <c r="G140" s="13" t="n">
        <v>11</v>
      </c>
      <c r="H140" s="18" t="n">
        <f aca="false">N(G140)-N(F140)</f>
        <v>-89</v>
      </c>
      <c r="I140" s="13" t="n">
        <v>500</v>
      </c>
      <c r="J140" s="19" t="s">
        <v>412</v>
      </c>
    </row>
    <row r="141" customFormat="false" ht="15" hidden="false" customHeight="false" outlineLevel="0" collapsed="false">
      <c r="B141" s="12" t="s">
        <v>413</v>
      </c>
      <c r="C141" s="17" t="s">
        <v>414</v>
      </c>
      <c r="D141" s="17" t="s">
        <v>68</v>
      </c>
      <c r="E141" s="13" t="n">
        <v>4</v>
      </c>
      <c r="F141" s="13" t="n">
        <v>35</v>
      </c>
      <c r="G141" s="13" t="n">
        <v>41</v>
      </c>
      <c r="H141" s="18" t="n">
        <f aca="false">N(G141)-N(F141)</f>
        <v>6</v>
      </c>
      <c r="I141" s="13" t="n">
        <v>15</v>
      </c>
      <c r="J141" s="19" t="s">
        <v>415</v>
      </c>
    </row>
    <row r="142" customFormat="false" ht="15" hidden="false" customHeight="false" outlineLevel="0" collapsed="false">
      <c r="B142" s="12" t="s">
        <v>416</v>
      </c>
      <c r="C142" s="17" t="s">
        <v>417</v>
      </c>
      <c r="D142" s="17"/>
      <c r="E142" s="13" t="n">
        <v>4</v>
      </c>
      <c r="F142" s="13" t="n">
        <v>0</v>
      </c>
      <c r="G142" s="13" t="n">
        <v>14</v>
      </c>
      <c r="H142" s="18" t="n">
        <f aca="false">N(G142)-N(F142)</f>
        <v>14</v>
      </c>
      <c r="I142" s="13"/>
      <c r="J142" s="19" t="s">
        <v>418</v>
      </c>
    </row>
    <row r="143" customFormat="false" ht="15" hidden="false" customHeight="false" outlineLevel="0" collapsed="false">
      <c r="B143" s="12" t="s">
        <v>419</v>
      </c>
      <c r="C143" s="17" t="s">
        <v>420</v>
      </c>
      <c r="D143" s="17"/>
      <c r="E143" s="13" t="n">
        <v>4</v>
      </c>
      <c r="F143" s="13" t="n">
        <v>0</v>
      </c>
      <c r="G143" s="13" t="n">
        <v>18</v>
      </c>
      <c r="H143" s="18" t="n">
        <f aca="false">N(G143)-N(F143)</f>
        <v>18</v>
      </c>
      <c r="I143" s="13"/>
      <c r="J143" s="19" t="s">
        <v>421</v>
      </c>
    </row>
    <row r="144" customFormat="false" ht="15" hidden="false" customHeight="false" outlineLevel="0" collapsed="false">
      <c r="B144" s="12" t="s">
        <v>422</v>
      </c>
      <c r="C144" s="17" t="s">
        <v>423</v>
      </c>
      <c r="D144" s="17"/>
      <c r="E144" s="13" t="n">
        <v>4</v>
      </c>
      <c r="F144" s="13" t="n">
        <v>0</v>
      </c>
      <c r="G144" s="13" t="n">
        <v>22</v>
      </c>
      <c r="H144" s="18" t="n">
        <f aca="false">N(G144)-N(F144)</f>
        <v>22</v>
      </c>
      <c r="I144" s="13"/>
      <c r="J144" s="19" t="s">
        <v>424</v>
      </c>
    </row>
    <row r="145" customFormat="false" ht="15" hidden="false" customHeight="false" outlineLevel="0" collapsed="false">
      <c r="B145" s="12" t="s">
        <v>425</v>
      </c>
      <c r="C145" s="17" t="s">
        <v>426</v>
      </c>
      <c r="D145" s="17"/>
      <c r="E145" s="13" t="n">
        <v>4</v>
      </c>
      <c r="F145" s="13" t="n">
        <v>0</v>
      </c>
      <c r="G145" s="13" t="n">
        <v>31</v>
      </c>
      <c r="H145" s="18" t="n">
        <f aca="false">N(G145)-N(F145)</f>
        <v>31</v>
      </c>
      <c r="I145" s="13"/>
      <c r="J145" s="19" t="s">
        <v>421</v>
      </c>
    </row>
    <row r="146" customFormat="false" ht="15" hidden="false" customHeight="false" outlineLevel="0" collapsed="false">
      <c r="B146" s="12" t="s">
        <v>427</v>
      </c>
      <c r="C146" s="17" t="s">
        <v>428</v>
      </c>
      <c r="D146" s="17"/>
      <c r="E146" s="13" t="n">
        <v>4</v>
      </c>
      <c r="F146" s="13" t="n">
        <v>0</v>
      </c>
      <c r="G146" s="13" t="n">
        <v>18</v>
      </c>
      <c r="H146" s="18" t="n">
        <f aca="false">N(G146)-N(F146)</f>
        <v>18</v>
      </c>
      <c r="I146" s="13"/>
      <c r="J146" s="19" t="s">
        <v>421</v>
      </c>
    </row>
    <row r="147" customFormat="false" ht="15" hidden="false" customHeight="false" outlineLevel="0" collapsed="false">
      <c r="B147" s="12" t="s">
        <v>429</v>
      </c>
      <c r="C147" s="17" t="s">
        <v>430</v>
      </c>
      <c r="D147" s="17" t="s">
        <v>68</v>
      </c>
      <c r="E147" s="13" t="n">
        <v>4</v>
      </c>
      <c r="F147" s="13" t="n">
        <v>0</v>
      </c>
      <c r="G147" s="13" t="n">
        <v>0</v>
      </c>
      <c r="H147" s="18" t="n">
        <f aca="false">N(G147)-N(F147)</f>
        <v>0</v>
      </c>
      <c r="I147" s="13" t="n">
        <v>260</v>
      </c>
      <c r="J147" s="19" t="s">
        <v>431</v>
      </c>
    </row>
    <row r="148" customFormat="false" ht="15" hidden="false" customHeight="false" outlineLevel="0" collapsed="false">
      <c r="B148" s="12" t="s">
        <v>432</v>
      </c>
      <c r="C148" s="17" t="s">
        <v>433</v>
      </c>
      <c r="D148" s="17" t="s">
        <v>68</v>
      </c>
      <c r="E148" s="13" t="n">
        <v>4</v>
      </c>
      <c r="F148" s="13" t="n">
        <v>3</v>
      </c>
      <c r="G148" s="13" t="n">
        <v>6</v>
      </c>
      <c r="H148" s="18" t="n">
        <f aca="false">N(G148)-N(F148)</f>
        <v>3</v>
      </c>
      <c r="I148" s="13" t="n">
        <v>3</v>
      </c>
      <c r="J148" s="19" t="s">
        <v>421</v>
      </c>
    </row>
    <row r="149" customFormat="false" ht="15" hidden="false" customHeight="false" outlineLevel="0" collapsed="false">
      <c r="B149" s="12" t="s">
        <v>434</v>
      </c>
      <c r="C149" s="17" t="s">
        <v>435</v>
      </c>
      <c r="D149" s="17"/>
      <c r="E149" s="13" t="n">
        <v>4</v>
      </c>
      <c r="F149" s="13" t="n">
        <v>0</v>
      </c>
      <c r="G149" s="13" t="n">
        <v>12</v>
      </c>
      <c r="H149" s="18" t="n">
        <f aca="false">N(G149)-N(F149)</f>
        <v>12</v>
      </c>
      <c r="I149" s="13"/>
      <c r="J149" s="19" t="s">
        <v>436</v>
      </c>
    </row>
    <row r="150" customFormat="false" ht="15" hidden="false" customHeight="false" outlineLevel="0" collapsed="false">
      <c r="B150" s="12" t="s">
        <v>437</v>
      </c>
      <c r="C150" s="17" t="s">
        <v>438</v>
      </c>
      <c r="D150" s="17"/>
      <c r="E150" s="13" t="n">
        <v>4</v>
      </c>
      <c r="F150" s="13" t="n">
        <v>0</v>
      </c>
      <c r="G150" s="13" t="n">
        <v>26</v>
      </c>
      <c r="H150" s="18" t="n">
        <f aca="false">N(G150)-N(F150)</f>
        <v>26</v>
      </c>
      <c r="I150" s="13"/>
      <c r="J150" s="19" t="s">
        <v>439</v>
      </c>
    </row>
    <row r="151" customFormat="false" ht="15" hidden="false" customHeight="false" outlineLevel="0" collapsed="false">
      <c r="B151" s="12" t="s">
        <v>440</v>
      </c>
      <c r="C151" s="17" t="s">
        <v>441</v>
      </c>
      <c r="D151" s="17"/>
      <c r="E151" s="13" t="n">
        <v>4</v>
      </c>
      <c r="F151" s="13" t="n">
        <v>0</v>
      </c>
      <c r="G151" s="13" t="n">
        <v>4</v>
      </c>
      <c r="H151" s="18" t="n">
        <f aca="false">N(G151)-N(F151)</f>
        <v>4</v>
      </c>
      <c r="I151" s="13"/>
      <c r="J151" s="19" t="s">
        <v>442</v>
      </c>
    </row>
    <row r="152" customFormat="false" ht="15" hidden="false" customHeight="false" outlineLevel="0" collapsed="false">
      <c r="B152" s="12" t="s">
        <v>443</v>
      </c>
      <c r="C152" s="17" t="s">
        <v>444</v>
      </c>
      <c r="D152" s="17" t="s">
        <v>68</v>
      </c>
      <c r="E152" s="13" t="n">
        <v>3</v>
      </c>
      <c r="F152" s="13" t="n">
        <v>0</v>
      </c>
      <c r="G152" s="13" t="n">
        <v>5</v>
      </c>
      <c r="H152" s="18" t="n">
        <f aca="false">N(G152)-N(F152)</f>
        <v>5</v>
      </c>
      <c r="I152" s="13" t="n">
        <v>4</v>
      </c>
      <c r="J152" s="19" t="s">
        <v>445</v>
      </c>
    </row>
    <row r="153" customFormat="false" ht="15" hidden="false" customHeight="false" outlineLevel="0" collapsed="false">
      <c r="B153" s="12" t="s">
        <v>446</v>
      </c>
      <c r="C153" s="17" t="s">
        <v>447</v>
      </c>
      <c r="D153" s="17"/>
      <c r="E153" s="13" t="n">
        <v>3</v>
      </c>
      <c r="F153" s="13" t="n">
        <v>2600</v>
      </c>
      <c r="G153" s="13" t="n">
        <v>5701</v>
      </c>
      <c r="H153" s="18" t="n">
        <f aca="false">N(G153)-N(F153)</f>
        <v>3101</v>
      </c>
      <c r="I153" s="13"/>
      <c r="J153" s="19" t="s">
        <v>448</v>
      </c>
    </row>
    <row r="154" customFormat="false" ht="15" hidden="false" customHeight="false" outlineLevel="0" collapsed="false">
      <c r="B154" s="12" t="s">
        <v>449</v>
      </c>
      <c r="C154" s="17" t="s">
        <v>450</v>
      </c>
      <c r="D154" s="17"/>
      <c r="E154" s="13" t="n">
        <v>3</v>
      </c>
      <c r="F154" s="13" t="n">
        <v>0</v>
      </c>
      <c r="G154" s="13" t="n">
        <v>122</v>
      </c>
      <c r="H154" s="18" t="n">
        <f aca="false">N(G154)-N(F154)</f>
        <v>122</v>
      </c>
      <c r="I154" s="13"/>
      <c r="J154" s="19" t="s">
        <v>451</v>
      </c>
    </row>
    <row r="155" customFormat="false" ht="15" hidden="false" customHeight="false" outlineLevel="0" collapsed="false">
      <c r="B155" s="12" t="s">
        <v>452</v>
      </c>
      <c r="C155" s="17" t="s">
        <v>453</v>
      </c>
      <c r="D155" s="17" t="s">
        <v>68</v>
      </c>
      <c r="E155" s="13" t="n">
        <v>3</v>
      </c>
      <c r="F155" s="13" t="n">
        <v>60</v>
      </c>
      <c r="G155" s="13" t="n">
        <v>41</v>
      </c>
      <c r="H155" s="18" t="n">
        <f aca="false">N(G155)-N(F155)</f>
        <v>-19</v>
      </c>
      <c r="I155" s="13" t="n">
        <v>60</v>
      </c>
      <c r="J155" s="19" t="s">
        <v>451</v>
      </c>
    </row>
    <row r="156" customFormat="false" ht="15" hidden="false" customHeight="false" outlineLevel="0" collapsed="false">
      <c r="B156" s="12" t="s">
        <v>454</v>
      </c>
      <c r="C156" s="17" t="s">
        <v>455</v>
      </c>
      <c r="D156" s="17" t="s">
        <v>68</v>
      </c>
      <c r="E156" s="13" t="n">
        <v>3</v>
      </c>
      <c r="F156" s="13" t="n">
        <v>30</v>
      </c>
      <c r="G156" s="13" t="n">
        <v>16</v>
      </c>
      <c r="H156" s="18" t="n">
        <f aca="false">N(G156)-N(F156)</f>
        <v>-14</v>
      </c>
      <c r="I156" s="13" t="n">
        <v>30</v>
      </c>
      <c r="J156" s="19" t="s">
        <v>456</v>
      </c>
    </row>
    <row r="157" customFormat="false" ht="15" hidden="false" customHeight="false" outlineLevel="0" collapsed="false">
      <c r="B157" s="12" t="s">
        <v>457</v>
      </c>
      <c r="C157" s="17" t="s">
        <v>458</v>
      </c>
      <c r="D157" s="17"/>
      <c r="E157" s="13" t="n">
        <v>3</v>
      </c>
      <c r="F157" s="13" t="n">
        <v>0</v>
      </c>
      <c r="G157" s="13" t="n">
        <v>231</v>
      </c>
      <c r="H157" s="18" t="n">
        <f aca="false">N(G157)-N(F157)</f>
        <v>231</v>
      </c>
      <c r="I157" s="13"/>
      <c r="J157" s="19" t="s">
        <v>459</v>
      </c>
    </row>
    <row r="158" customFormat="false" ht="15" hidden="false" customHeight="false" outlineLevel="0" collapsed="false">
      <c r="B158" s="12" t="s">
        <v>460</v>
      </c>
      <c r="C158" s="17" t="s">
        <v>461</v>
      </c>
      <c r="D158" s="17" t="s">
        <v>68</v>
      </c>
      <c r="E158" s="13" t="n">
        <v>3</v>
      </c>
      <c r="F158" s="13" t="n">
        <v>0</v>
      </c>
      <c r="G158" s="13" t="n">
        <v>6</v>
      </c>
      <c r="H158" s="18" t="n">
        <f aca="false">N(G158)-N(F158)</f>
        <v>6</v>
      </c>
      <c r="I158" s="13" t="n">
        <v>5</v>
      </c>
      <c r="J158" s="19" t="s">
        <v>462</v>
      </c>
    </row>
    <row r="159" customFormat="false" ht="15" hidden="false" customHeight="false" outlineLevel="0" collapsed="false">
      <c r="B159" s="12" t="s">
        <v>463</v>
      </c>
      <c r="C159" s="17" t="s">
        <v>464</v>
      </c>
      <c r="D159" s="17"/>
      <c r="E159" s="13" t="n">
        <v>3</v>
      </c>
      <c r="F159" s="13" t="n">
        <v>0</v>
      </c>
      <c r="G159" s="13" t="n">
        <v>10</v>
      </c>
      <c r="H159" s="18" t="n">
        <f aca="false">N(G159)-N(F159)</f>
        <v>10</v>
      </c>
      <c r="I159" s="13"/>
      <c r="J159" s="19" t="s">
        <v>465</v>
      </c>
    </row>
    <row r="160" customFormat="false" ht="15" hidden="false" customHeight="false" outlineLevel="0" collapsed="false">
      <c r="B160" s="12" t="s">
        <v>466</v>
      </c>
      <c r="C160" s="17" t="s">
        <v>467</v>
      </c>
      <c r="D160" s="17"/>
      <c r="E160" s="13" t="n">
        <v>3</v>
      </c>
      <c r="F160" s="13" t="n">
        <v>0</v>
      </c>
      <c r="G160" s="13" t="n">
        <v>5</v>
      </c>
      <c r="H160" s="18" t="n">
        <f aca="false">N(G160)-N(F160)</f>
        <v>5</v>
      </c>
      <c r="I160" s="13"/>
      <c r="J160" s="19" t="s">
        <v>468</v>
      </c>
    </row>
    <row r="161" customFormat="false" ht="15" hidden="false" customHeight="false" outlineLevel="0" collapsed="false">
      <c r="B161" s="12" t="s">
        <v>469</v>
      </c>
      <c r="C161" s="17" t="s">
        <v>470</v>
      </c>
      <c r="D161" s="17"/>
      <c r="E161" s="13" t="n">
        <v>3</v>
      </c>
      <c r="F161" s="13" t="n">
        <v>0</v>
      </c>
      <c r="G161" s="13" t="n">
        <v>1506</v>
      </c>
      <c r="H161" s="18" t="n">
        <f aca="false">N(G161)-N(F161)</f>
        <v>1506</v>
      </c>
      <c r="I161" s="13"/>
      <c r="J161" s="19" t="s">
        <v>471</v>
      </c>
    </row>
    <row r="162" customFormat="false" ht="15" hidden="false" customHeight="false" outlineLevel="0" collapsed="false">
      <c r="B162" s="12" t="s">
        <v>472</v>
      </c>
      <c r="C162" s="17" t="s">
        <v>473</v>
      </c>
      <c r="D162" s="17" t="s">
        <v>68</v>
      </c>
      <c r="E162" s="13" t="n">
        <v>3</v>
      </c>
      <c r="F162" s="13" t="n">
        <v>0</v>
      </c>
      <c r="G162" s="13" t="n">
        <v>15</v>
      </c>
      <c r="H162" s="18" t="n">
        <f aca="false">N(G162)-N(F162)</f>
        <v>15</v>
      </c>
      <c r="I162" s="13" t="n">
        <v>14</v>
      </c>
      <c r="J162" s="19" t="s">
        <v>474</v>
      </c>
    </row>
    <row r="163" customFormat="false" ht="15" hidden="false" customHeight="false" outlineLevel="0" collapsed="false">
      <c r="B163" s="12" t="s">
        <v>475</v>
      </c>
      <c r="C163" s="17" t="s">
        <v>476</v>
      </c>
      <c r="D163" s="17"/>
      <c r="E163" s="13" t="n">
        <v>3</v>
      </c>
      <c r="F163" s="13" t="n">
        <v>0</v>
      </c>
      <c r="G163" s="13" t="n">
        <v>5</v>
      </c>
      <c r="H163" s="18" t="n">
        <f aca="false">N(G163)-N(F163)</f>
        <v>5</v>
      </c>
      <c r="I163" s="13"/>
      <c r="J163" s="19" t="s">
        <v>477</v>
      </c>
    </row>
    <row r="164" customFormat="false" ht="15" hidden="false" customHeight="false" outlineLevel="0" collapsed="false">
      <c r="B164" s="12" t="s">
        <v>478</v>
      </c>
      <c r="C164" s="17" t="s">
        <v>479</v>
      </c>
      <c r="D164" s="17" t="s">
        <v>68</v>
      </c>
      <c r="E164" s="13" t="n">
        <v>3</v>
      </c>
      <c r="F164" s="13" t="n">
        <v>6</v>
      </c>
      <c r="G164" s="13" t="n">
        <v>7</v>
      </c>
      <c r="H164" s="18" t="n">
        <f aca="false">N(G164)-N(F164)</f>
        <v>1</v>
      </c>
      <c r="I164" s="13" t="n">
        <v>6</v>
      </c>
      <c r="J164" s="19" t="s">
        <v>480</v>
      </c>
    </row>
    <row r="165" customFormat="false" ht="15" hidden="false" customHeight="false" outlineLevel="0" collapsed="false">
      <c r="B165" s="12" t="s">
        <v>481</v>
      </c>
      <c r="C165" s="17" t="s">
        <v>482</v>
      </c>
      <c r="D165" s="17"/>
      <c r="E165" s="13" t="n">
        <v>2</v>
      </c>
      <c r="F165" s="13" t="n">
        <v>0</v>
      </c>
      <c r="G165" s="13" t="n">
        <v>10</v>
      </c>
      <c r="H165" s="18" t="n">
        <f aca="false">N(G165)-N(F165)</f>
        <v>10</v>
      </c>
      <c r="I165" s="13"/>
      <c r="J165" s="19" t="s">
        <v>483</v>
      </c>
    </row>
    <row r="166" customFormat="false" ht="15" hidden="false" customHeight="false" outlineLevel="0" collapsed="false">
      <c r="B166" s="12" t="s">
        <v>484</v>
      </c>
      <c r="C166" s="17" t="s">
        <v>485</v>
      </c>
      <c r="D166" s="17" t="s">
        <v>68</v>
      </c>
      <c r="E166" s="13" t="n">
        <v>2</v>
      </c>
      <c r="F166" s="13" t="n">
        <v>20</v>
      </c>
      <c r="G166" s="13" t="n">
        <v>10</v>
      </c>
      <c r="H166" s="18" t="n">
        <f aca="false">N(G166)-N(F166)</f>
        <v>-10</v>
      </c>
      <c r="I166" s="13" t="n">
        <v>20</v>
      </c>
      <c r="J166" s="19" t="s">
        <v>486</v>
      </c>
    </row>
    <row r="167" customFormat="false" ht="15" hidden="false" customHeight="false" outlineLevel="0" collapsed="false">
      <c r="B167" s="12" t="s">
        <v>487</v>
      </c>
      <c r="C167" s="17" t="s">
        <v>488</v>
      </c>
      <c r="D167" s="17"/>
      <c r="E167" s="13" t="n">
        <v>2</v>
      </c>
      <c r="F167" s="13" t="n">
        <v>0</v>
      </c>
      <c r="G167" s="13" t="n">
        <v>5</v>
      </c>
      <c r="H167" s="18" t="n">
        <f aca="false">N(G167)-N(F167)</f>
        <v>5</v>
      </c>
      <c r="I167" s="13"/>
      <c r="J167" s="19" t="s">
        <v>489</v>
      </c>
    </row>
    <row r="168" customFormat="false" ht="15" hidden="false" customHeight="false" outlineLevel="0" collapsed="false">
      <c r="B168" s="12" t="s">
        <v>490</v>
      </c>
      <c r="C168" s="17" t="s">
        <v>491</v>
      </c>
      <c r="D168" s="17"/>
      <c r="E168" s="13" t="n">
        <v>2</v>
      </c>
      <c r="F168" s="13" t="n">
        <v>12</v>
      </c>
      <c r="G168" s="13" t="n">
        <v>2</v>
      </c>
      <c r="H168" s="18" t="n">
        <f aca="false">N(G168)-N(F168)</f>
        <v>-10</v>
      </c>
      <c r="I168" s="13"/>
      <c r="J168" s="19" t="s">
        <v>492</v>
      </c>
    </row>
    <row r="169" customFormat="false" ht="15" hidden="false" customHeight="false" outlineLevel="0" collapsed="false">
      <c r="B169" s="12" t="s">
        <v>493</v>
      </c>
      <c r="C169" s="17" t="s">
        <v>494</v>
      </c>
      <c r="D169" s="17" t="s">
        <v>68</v>
      </c>
      <c r="E169" s="13" t="n">
        <v>2</v>
      </c>
      <c r="F169" s="13" t="n">
        <v>28</v>
      </c>
      <c r="G169" s="13" t="n">
        <v>33</v>
      </c>
      <c r="H169" s="18" t="n">
        <f aca="false">N(G169)-N(F169)</f>
        <v>5</v>
      </c>
      <c r="I169" s="13" t="n">
        <v>28</v>
      </c>
      <c r="J169" s="19" t="s">
        <v>495</v>
      </c>
    </row>
    <row r="170" customFormat="false" ht="15" hidden="false" customHeight="false" outlineLevel="0" collapsed="false">
      <c r="B170" s="12" t="s">
        <v>496</v>
      </c>
      <c r="C170" s="17" t="s">
        <v>497</v>
      </c>
      <c r="D170" s="17" t="s">
        <v>68</v>
      </c>
      <c r="E170" s="13" t="n">
        <v>2</v>
      </c>
      <c r="F170" s="13" t="n">
        <v>0</v>
      </c>
      <c r="G170" s="13" t="n">
        <v>2</v>
      </c>
      <c r="H170" s="18" t="n">
        <f aca="false">N(G170)-N(F170)</f>
        <v>2</v>
      </c>
      <c r="I170" s="13" t="n">
        <v>2</v>
      </c>
      <c r="J170" s="19" t="s">
        <v>498</v>
      </c>
    </row>
    <row r="171" customFormat="false" ht="15" hidden="false" customHeight="false" outlineLevel="0" collapsed="false">
      <c r="B171" s="12" t="s">
        <v>499</v>
      </c>
      <c r="C171" s="17" t="s">
        <v>500</v>
      </c>
      <c r="D171" s="17" t="s">
        <v>68</v>
      </c>
      <c r="E171" s="13" t="n">
        <v>2</v>
      </c>
      <c r="F171" s="13" t="n">
        <v>20</v>
      </c>
      <c r="G171" s="13" t="n">
        <v>28</v>
      </c>
      <c r="H171" s="18" t="n">
        <f aca="false">N(G171)-N(F171)</f>
        <v>8</v>
      </c>
      <c r="I171" s="13" t="n">
        <v>25</v>
      </c>
      <c r="J171" s="19" t="s">
        <v>501</v>
      </c>
    </row>
    <row r="172" customFormat="false" ht="15" hidden="false" customHeight="false" outlineLevel="0" collapsed="false">
      <c r="B172" s="12" t="s">
        <v>502</v>
      </c>
      <c r="C172" s="17" t="s">
        <v>503</v>
      </c>
      <c r="D172" s="17" t="s">
        <v>68</v>
      </c>
      <c r="E172" s="13" t="n">
        <v>2</v>
      </c>
      <c r="F172" s="13" t="n">
        <v>50</v>
      </c>
      <c r="G172" s="13" t="n">
        <v>29</v>
      </c>
      <c r="H172" s="18" t="n">
        <f aca="false">N(G172)-N(F172)</f>
        <v>-21</v>
      </c>
      <c r="I172" s="13" t="n">
        <v>60</v>
      </c>
      <c r="J172" s="19" t="s">
        <v>504</v>
      </c>
    </row>
    <row r="173" customFormat="false" ht="15" hidden="false" customHeight="false" outlineLevel="0" collapsed="false">
      <c r="B173" s="12" t="s">
        <v>505</v>
      </c>
      <c r="C173" s="17" t="s">
        <v>506</v>
      </c>
      <c r="D173" s="17"/>
      <c r="E173" s="13" t="n">
        <v>2</v>
      </c>
      <c r="F173" s="13" t="n">
        <v>0</v>
      </c>
      <c r="G173" s="13" t="n">
        <v>2</v>
      </c>
      <c r="H173" s="18" t="n">
        <f aca="false">N(G173)-N(F173)</f>
        <v>2</v>
      </c>
      <c r="I173" s="13"/>
      <c r="J173" s="19" t="s">
        <v>498</v>
      </c>
    </row>
    <row r="174" customFormat="false" ht="15" hidden="false" customHeight="false" outlineLevel="0" collapsed="false">
      <c r="B174" s="12" t="s">
        <v>507</v>
      </c>
      <c r="C174" s="17" t="s">
        <v>508</v>
      </c>
      <c r="D174" s="17"/>
      <c r="E174" s="13" t="n">
        <v>2</v>
      </c>
      <c r="F174" s="13" t="n">
        <v>0</v>
      </c>
      <c r="G174" s="13" t="n">
        <v>7</v>
      </c>
      <c r="H174" s="18" t="n">
        <f aca="false">N(G174)-N(F174)</f>
        <v>7</v>
      </c>
      <c r="I174" s="13"/>
      <c r="J174" s="19" t="s">
        <v>509</v>
      </c>
    </row>
    <row r="175" customFormat="false" ht="15" hidden="false" customHeight="false" outlineLevel="0" collapsed="false">
      <c r="B175" s="12" t="s">
        <v>510</v>
      </c>
      <c r="C175" s="17" t="s">
        <v>511</v>
      </c>
      <c r="D175" s="17" t="s">
        <v>68</v>
      </c>
      <c r="E175" s="13" t="n">
        <v>2</v>
      </c>
      <c r="F175" s="13" t="n">
        <v>11</v>
      </c>
      <c r="G175" s="13" t="n">
        <v>0</v>
      </c>
      <c r="H175" s="18" t="n">
        <f aca="false">N(G175)-N(F175)</f>
        <v>-11</v>
      </c>
      <c r="I175" s="13" t="n">
        <v>11</v>
      </c>
      <c r="J175" s="19" t="s">
        <v>492</v>
      </c>
    </row>
    <row r="176" customFormat="false" ht="15" hidden="false" customHeight="false" outlineLevel="0" collapsed="false">
      <c r="B176" s="12" t="s">
        <v>512</v>
      </c>
      <c r="C176" s="17" t="s">
        <v>513</v>
      </c>
      <c r="D176" s="17"/>
      <c r="E176" s="13" t="n">
        <v>2</v>
      </c>
      <c r="F176" s="13" t="n">
        <v>900</v>
      </c>
      <c r="G176" s="13" t="n">
        <v>1118</v>
      </c>
      <c r="H176" s="18" t="n">
        <f aca="false">N(G176)-N(F176)</f>
        <v>218</v>
      </c>
      <c r="I176" s="13"/>
      <c r="J176" s="19" t="s">
        <v>514</v>
      </c>
    </row>
    <row r="177" customFormat="false" ht="15" hidden="false" customHeight="false" outlineLevel="0" collapsed="false">
      <c r="B177" s="12" t="s">
        <v>515</v>
      </c>
      <c r="C177" s="17" t="s">
        <v>516</v>
      </c>
      <c r="D177" s="17"/>
      <c r="E177" s="13" t="n">
        <v>2</v>
      </c>
      <c r="F177" s="13" t="n">
        <v>0</v>
      </c>
      <c r="G177" s="13" t="n">
        <v>5</v>
      </c>
      <c r="H177" s="18" t="n">
        <f aca="false">N(G177)-N(F177)</f>
        <v>5</v>
      </c>
      <c r="I177" s="13"/>
      <c r="J177" s="19" t="s">
        <v>517</v>
      </c>
    </row>
    <row r="178" customFormat="false" ht="15" hidden="false" customHeight="false" outlineLevel="0" collapsed="false">
      <c r="B178" s="12" t="s">
        <v>518</v>
      </c>
      <c r="C178" s="17" t="s">
        <v>133</v>
      </c>
      <c r="D178" s="17"/>
      <c r="E178" s="13" t="n">
        <v>2</v>
      </c>
      <c r="F178" s="13" t="n">
        <v>0</v>
      </c>
      <c r="G178" s="13" t="n">
        <v>31</v>
      </c>
      <c r="H178" s="18" t="n">
        <f aca="false">N(G178)-N(F178)</f>
        <v>31</v>
      </c>
      <c r="I178" s="13"/>
      <c r="J178" s="19" t="s">
        <v>519</v>
      </c>
    </row>
    <row r="179" customFormat="false" ht="15" hidden="false" customHeight="false" outlineLevel="0" collapsed="false">
      <c r="B179" s="12" t="s">
        <v>520</v>
      </c>
      <c r="C179" s="17" t="s">
        <v>521</v>
      </c>
      <c r="D179" s="17"/>
      <c r="E179" s="13" t="n">
        <v>2</v>
      </c>
      <c r="F179" s="13" t="n">
        <v>0</v>
      </c>
      <c r="G179" s="13" t="n">
        <v>4</v>
      </c>
      <c r="H179" s="18" t="n">
        <f aca="false">N(G179)-N(F179)</f>
        <v>4</v>
      </c>
      <c r="I179" s="13"/>
      <c r="J179" s="19" t="s">
        <v>492</v>
      </c>
    </row>
    <row r="180" customFormat="false" ht="15" hidden="false" customHeight="false" outlineLevel="0" collapsed="false">
      <c r="B180" s="12" t="s">
        <v>522</v>
      </c>
      <c r="C180" s="17" t="s">
        <v>523</v>
      </c>
      <c r="D180" s="17"/>
      <c r="E180" s="13" t="n">
        <v>2</v>
      </c>
      <c r="F180" s="13" t="n">
        <v>0</v>
      </c>
      <c r="G180" s="13" t="n">
        <v>307</v>
      </c>
      <c r="H180" s="18" t="n">
        <f aca="false">N(G180)-N(F180)</f>
        <v>307</v>
      </c>
      <c r="I180" s="13"/>
      <c r="J180" s="19" t="s">
        <v>498</v>
      </c>
    </row>
    <row r="181" customFormat="false" ht="15" hidden="false" customHeight="false" outlineLevel="0" collapsed="false">
      <c r="B181" s="12" t="s">
        <v>524</v>
      </c>
      <c r="C181" s="17" t="s">
        <v>525</v>
      </c>
      <c r="D181" s="17" t="s">
        <v>68</v>
      </c>
      <c r="E181" s="13" t="n">
        <v>2</v>
      </c>
      <c r="F181" s="13" t="n">
        <v>10</v>
      </c>
      <c r="G181" s="13" t="n">
        <v>0</v>
      </c>
      <c r="H181" s="18" t="n">
        <f aca="false">N(G181)-N(F181)</f>
        <v>-10</v>
      </c>
      <c r="I181" s="13" t="n">
        <v>10</v>
      </c>
      <c r="J181" s="19" t="s">
        <v>492</v>
      </c>
    </row>
    <row r="182" customFormat="false" ht="15" hidden="false" customHeight="false" outlineLevel="0" collapsed="false">
      <c r="B182" s="12" t="s">
        <v>526</v>
      </c>
      <c r="C182" s="17" t="s">
        <v>527</v>
      </c>
      <c r="D182" s="17" t="s">
        <v>68</v>
      </c>
      <c r="E182" s="13" t="n">
        <v>2</v>
      </c>
      <c r="F182" s="13" t="n">
        <v>0</v>
      </c>
      <c r="G182" s="13" t="n">
        <v>32</v>
      </c>
      <c r="H182" s="18" t="n">
        <f aca="false">N(G182)-N(F182)</f>
        <v>32</v>
      </c>
      <c r="I182" s="13" t="n">
        <v>3500</v>
      </c>
      <c r="J182" s="19" t="s">
        <v>528</v>
      </c>
    </row>
    <row r="183" customFormat="false" ht="15" hidden="false" customHeight="false" outlineLevel="0" collapsed="false">
      <c r="B183" s="12" t="s">
        <v>529</v>
      </c>
      <c r="C183" s="17" t="s">
        <v>530</v>
      </c>
      <c r="D183" s="17"/>
      <c r="E183" s="13" t="n">
        <v>2</v>
      </c>
      <c r="F183" s="13" t="n">
        <v>0</v>
      </c>
      <c r="G183" s="13" t="n">
        <v>4</v>
      </c>
      <c r="H183" s="18" t="n">
        <f aca="false">N(G183)-N(F183)</f>
        <v>4</v>
      </c>
      <c r="I183" s="13"/>
      <c r="J183" s="19" t="s">
        <v>531</v>
      </c>
    </row>
    <row r="184" customFormat="false" ht="15" hidden="false" customHeight="false" outlineLevel="0" collapsed="false">
      <c r="B184" s="12" t="s">
        <v>532</v>
      </c>
      <c r="C184" s="17" t="s">
        <v>533</v>
      </c>
      <c r="D184" s="17" t="s">
        <v>68</v>
      </c>
      <c r="E184" s="13" t="n">
        <v>2</v>
      </c>
      <c r="F184" s="13" t="n">
        <v>2</v>
      </c>
      <c r="G184" s="13" t="n">
        <v>2</v>
      </c>
      <c r="H184" s="18" t="n">
        <f aca="false">N(G184)-N(F184)</f>
        <v>0</v>
      </c>
      <c r="I184" s="13" t="n">
        <v>2</v>
      </c>
      <c r="J184" s="19" t="s">
        <v>504</v>
      </c>
    </row>
    <row r="185" customFormat="false" ht="15" hidden="false" customHeight="false" outlineLevel="0" collapsed="false">
      <c r="B185" s="12" t="s">
        <v>534</v>
      </c>
      <c r="C185" s="17" t="s">
        <v>535</v>
      </c>
      <c r="D185" s="17" t="s">
        <v>68</v>
      </c>
      <c r="E185" s="13" t="n">
        <v>2</v>
      </c>
      <c r="F185" s="13" t="n">
        <v>21</v>
      </c>
      <c r="G185" s="13" t="n">
        <v>6</v>
      </c>
      <c r="H185" s="18" t="n">
        <f aca="false">N(G185)-N(F185)</f>
        <v>-15</v>
      </c>
      <c r="I185" s="13" t="n">
        <v>21</v>
      </c>
      <c r="J185" s="19" t="s">
        <v>536</v>
      </c>
    </row>
    <row r="186" customFormat="false" ht="15" hidden="false" customHeight="false" outlineLevel="0" collapsed="false">
      <c r="B186" s="12" t="s">
        <v>537</v>
      </c>
      <c r="C186" s="17" t="s">
        <v>538</v>
      </c>
      <c r="D186" s="17" t="s">
        <v>68</v>
      </c>
      <c r="E186" s="13" t="n">
        <v>2</v>
      </c>
      <c r="F186" s="13" t="n">
        <v>3</v>
      </c>
      <c r="G186" s="13" t="n">
        <v>3</v>
      </c>
      <c r="H186" s="18" t="n">
        <f aca="false">N(G186)-N(F186)</f>
        <v>0</v>
      </c>
      <c r="I186" s="13" t="n">
        <v>4</v>
      </c>
      <c r="J186" s="19" t="s">
        <v>539</v>
      </c>
    </row>
    <row r="187" customFormat="false" ht="15" hidden="false" customHeight="false" outlineLevel="0" collapsed="false">
      <c r="B187" s="12" t="s">
        <v>540</v>
      </c>
      <c r="C187" s="17" t="s">
        <v>541</v>
      </c>
      <c r="D187" s="17"/>
      <c r="E187" s="13" t="n">
        <v>2</v>
      </c>
      <c r="F187" s="13" t="n">
        <v>0</v>
      </c>
      <c r="G187" s="13" t="n">
        <v>3</v>
      </c>
      <c r="H187" s="18" t="n">
        <f aca="false">N(G187)-N(F187)</f>
        <v>3</v>
      </c>
      <c r="I187" s="13"/>
      <c r="J187" s="19" t="s">
        <v>542</v>
      </c>
    </row>
    <row r="188" customFormat="false" ht="15" hidden="false" customHeight="false" outlineLevel="0" collapsed="false">
      <c r="B188" s="12" t="s">
        <v>543</v>
      </c>
      <c r="C188" s="17" t="s">
        <v>544</v>
      </c>
      <c r="D188" s="17"/>
      <c r="E188" s="13" t="n">
        <v>2</v>
      </c>
      <c r="F188" s="13" t="n">
        <v>0</v>
      </c>
      <c r="G188" s="13" t="n">
        <v>4</v>
      </c>
      <c r="H188" s="18" t="n">
        <f aca="false">N(G188)-N(F188)</f>
        <v>4</v>
      </c>
      <c r="I188" s="13"/>
      <c r="J188" s="19" t="s">
        <v>531</v>
      </c>
    </row>
    <row r="189" customFormat="false" ht="15" hidden="false" customHeight="false" outlineLevel="0" collapsed="false">
      <c r="B189" s="12" t="s">
        <v>545</v>
      </c>
      <c r="C189" s="17" t="s">
        <v>546</v>
      </c>
      <c r="D189" s="17"/>
      <c r="E189" s="13" t="n">
        <v>2</v>
      </c>
      <c r="F189" s="13" t="n">
        <v>0</v>
      </c>
      <c r="G189" s="13" t="n">
        <v>5</v>
      </c>
      <c r="H189" s="18" t="n">
        <f aca="false">N(G189)-N(F189)</f>
        <v>5</v>
      </c>
      <c r="I189" s="13"/>
      <c r="J189" s="19" t="s">
        <v>517</v>
      </c>
    </row>
    <row r="190" customFormat="false" ht="15" hidden="false" customHeight="false" outlineLevel="0" collapsed="false">
      <c r="B190" s="12" t="s">
        <v>547</v>
      </c>
      <c r="C190" s="17" t="s">
        <v>548</v>
      </c>
      <c r="D190" s="17"/>
      <c r="E190" s="13" t="n">
        <v>2</v>
      </c>
      <c r="F190" s="13" t="n">
        <v>0</v>
      </c>
      <c r="G190" s="13" t="n">
        <v>3</v>
      </c>
      <c r="H190" s="18" t="n">
        <f aca="false">N(G190)-N(F190)</f>
        <v>3</v>
      </c>
      <c r="I190" s="13"/>
      <c r="J190" s="19" t="s">
        <v>549</v>
      </c>
    </row>
    <row r="191" customFormat="false" ht="15" hidden="false" customHeight="false" outlineLevel="0" collapsed="false">
      <c r="B191" s="12" t="s">
        <v>550</v>
      </c>
      <c r="C191" s="17" t="s">
        <v>227</v>
      </c>
      <c r="D191" s="17" t="s">
        <v>68</v>
      </c>
      <c r="E191" s="13" t="n">
        <v>2</v>
      </c>
      <c r="F191" s="13" t="n">
        <v>1</v>
      </c>
      <c r="G191" s="13" t="n">
        <v>2</v>
      </c>
      <c r="H191" s="18" t="n">
        <f aca="false">N(G191)-N(F191)</f>
        <v>1</v>
      </c>
      <c r="I191" s="13" t="n">
        <v>2</v>
      </c>
      <c r="J191" s="19" t="s">
        <v>492</v>
      </c>
    </row>
    <row r="192" customFormat="false" ht="15" hidden="false" customHeight="false" outlineLevel="0" collapsed="false">
      <c r="B192" s="12" t="s">
        <v>551</v>
      </c>
      <c r="C192" s="17" t="s">
        <v>552</v>
      </c>
      <c r="D192" s="17"/>
      <c r="E192" s="13" t="n">
        <v>1</v>
      </c>
      <c r="F192" s="13" t="n">
        <v>10</v>
      </c>
      <c r="G192" s="13" t="n">
        <v>4</v>
      </c>
      <c r="H192" s="18" t="n">
        <f aca="false">N(G192)-N(F192)</f>
        <v>-6</v>
      </c>
      <c r="I192" s="13"/>
      <c r="J192" s="19" t="s">
        <v>43</v>
      </c>
    </row>
    <row r="193" customFormat="false" ht="15" hidden="false" customHeight="false" outlineLevel="0" collapsed="false">
      <c r="B193" s="12" t="s">
        <v>553</v>
      </c>
      <c r="C193" s="17" t="s">
        <v>554</v>
      </c>
      <c r="D193" s="17"/>
      <c r="E193" s="13" t="n">
        <v>1</v>
      </c>
      <c r="F193" s="13" t="n">
        <v>0</v>
      </c>
      <c r="G193" s="13" t="n">
        <v>4</v>
      </c>
      <c r="H193" s="18" t="n">
        <f aca="false">N(G193)-N(F193)</f>
        <v>4</v>
      </c>
      <c r="I193" s="13"/>
      <c r="J193" s="19" t="s">
        <v>43</v>
      </c>
    </row>
    <row r="194" customFormat="false" ht="15" hidden="false" customHeight="false" outlineLevel="0" collapsed="false">
      <c r="B194" s="12" t="s">
        <v>555</v>
      </c>
      <c r="C194" s="17" t="s">
        <v>556</v>
      </c>
      <c r="D194" s="17"/>
      <c r="E194" s="13" t="n">
        <v>1</v>
      </c>
      <c r="F194" s="13" t="n">
        <v>0</v>
      </c>
      <c r="G194" s="13" t="n">
        <v>3</v>
      </c>
      <c r="H194" s="18" t="n">
        <f aca="false">N(G194)-N(F194)</f>
        <v>3</v>
      </c>
      <c r="I194" s="13"/>
      <c r="J194" s="19" t="s">
        <v>44</v>
      </c>
    </row>
    <row r="195" customFormat="false" ht="15" hidden="false" customHeight="false" outlineLevel="0" collapsed="false">
      <c r="B195" s="12" t="s">
        <v>557</v>
      </c>
      <c r="C195" s="17" t="s">
        <v>558</v>
      </c>
      <c r="D195" s="17" t="s">
        <v>68</v>
      </c>
      <c r="E195" s="13" t="n">
        <v>1</v>
      </c>
      <c r="F195" s="13" t="n">
        <v>10</v>
      </c>
      <c r="G195" s="13" t="n">
        <v>0</v>
      </c>
      <c r="H195" s="18" t="n">
        <f aca="false">N(G195)-N(F195)</f>
        <v>-10</v>
      </c>
      <c r="I195" s="13" t="n">
        <v>10</v>
      </c>
      <c r="J195" s="19" t="s">
        <v>38</v>
      </c>
    </row>
    <row r="196" customFormat="false" ht="15" hidden="false" customHeight="false" outlineLevel="0" collapsed="false">
      <c r="B196" s="12" t="s">
        <v>559</v>
      </c>
      <c r="C196" s="17" t="s">
        <v>560</v>
      </c>
      <c r="D196" s="17" t="s">
        <v>68</v>
      </c>
      <c r="E196" s="13" t="n">
        <v>1</v>
      </c>
      <c r="F196" s="13" t="n">
        <v>10</v>
      </c>
      <c r="G196" s="13" t="n">
        <v>0</v>
      </c>
      <c r="H196" s="18" t="n">
        <f aca="false">N(G196)-N(F196)</f>
        <v>-10</v>
      </c>
      <c r="I196" s="13" t="n">
        <v>10</v>
      </c>
      <c r="J196" s="19" t="s">
        <v>40</v>
      </c>
    </row>
    <row r="197" customFormat="false" ht="15" hidden="false" customHeight="false" outlineLevel="0" collapsed="false">
      <c r="B197" s="12" t="s">
        <v>561</v>
      </c>
      <c r="C197" s="17" t="s">
        <v>562</v>
      </c>
      <c r="D197" s="17"/>
      <c r="E197" s="13" t="n">
        <v>1</v>
      </c>
      <c r="F197" s="13" t="n">
        <v>0</v>
      </c>
      <c r="G197" s="13" t="n">
        <v>1</v>
      </c>
      <c r="H197" s="18" t="n">
        <f aca="false">N(G197)-N(F197)</f>
        <v>1</v>
      </c>
      <c r="I197" s="13"/>
      <c r="J197" s="19" t="s">
        <v>49</v>
      </c>
    </row>
    <row r="198" customFormat="false" ht="15" hidden="false" customHeight="false" outlineLevel="0" collapsed="false">
      <c r="B198" s="12" t="s">
        <v>563</v>
      </c>
      <c r="C198" s="17" t="s">
        <v>564</v>
      </c>
      <c r="D198" s="17"/>
      <c r="E198" s="13" t="n">
        <v>1</v>
      </c>
      <c r="F198" s="13" t="n">
        <v>0</v>
      </c>
      <c r="G198" s="13" t="n">
        <v>1</v>
      </c>
      <c r="H198" s="18" t="n">
        <f aca="false">N(G198)-N(F198)</f>
        <v>1</v>
      </c>
      <c r="I198" s="13"/>
      <c r="J198" s="19" t="s">
        <v>38</v>
      </c>
    </row>
    <row r="199" customFormat="false" ht="15" hidden="false" customHeight="false" outlineLevel="0" collapsed="false">
      <c r="B199" s="12" t="s">
        <v>565</v>
      </c>
      <c r="C199" s="17" t="s">
        <v>566</v>
      </c>
      <c r="D199" s="17" t="s">
        <v>68</v>
      </c>
      <c r="E199" s="13" t="n">
        <v>1</v>
      </c>
      <c r="F199" s="13" t="n">
        <v>3</v>
      </c>
      <c r="G199" s="13" t="n">
        <v>1</v>
      </c>
      <c r="H199" s="18" t="n">
        <f aca="false">N(G199)-N(F199)</f>
        <v>-2</v>
      </c>
      <c r="I199" s="13" t="n">
        <v>3</v>
      </c>
      <c r="J199" s="19" t="s">
        <v>44</v>
      </c>
    </row>
    <row r="200" customFormat="false" ht="15" hidden="false" customHeight="false" outlineLevel="0" collapsed="false">
      <c r="B200" s="12" t="s">
        <v>567</v>
      </c>
      <c r="C200" s="17" t="s">
        <v>568</v>
      </c>
      <c r="D200" s="17"/>
      <c r="E200" s="13" t="n">
        <v>1</v>
      </c>
      <c r="F200" s="13" t="n">
        <v>0</v>
      </c>
      <c r="G200" s="13" t="n">
        <v>3</v>
      </c>
      <c r="H200" s="18" t="n">
        <f aca="false">N(G200)-N(F200)</f>
        <v>3</v>
      </c>
      <c r="I200" s="13"/>
      <c r="J200" s="19" t="s">
        <v>52</v>
      </c>
    </row>
    <row r="201" customFormat="false" ht="15" hidden="false" customHeight="false" outlineLevel="0" collapsed="false">
      <c r="B201" s="12" t="s">
        <v>569</v>
      </c>
      <c r="C201" s="17" t="s">
        <v>570</v>
      </c>
      <c r="D201" s="17" t="s">
        <v>68</v>
      </c>
      <c r="E201" s="13" t="n">
        <v>1</v>
      </c>
      <c r="F201" s="13" t="n">
        <v>6</v>
      </c>
      <c r="G201" s="13" t="n">
        <v>6</v>
      </c>
      <c r="H201" s="18" t="n">
        <f aca="false">N(G201)-N(F201)</f>
        <v>0</v>
      </c>
      <c r="I201" s="13" t="n">
        <v>6</v>
      </c>
      <c r="J201" s="19" t="s">
        <v>44</v>
      </c>
    </row>
    <row r="202" customFormat="false" ht="15" hidden="false" customHeight="false" outlineLevel="0" collapsed="false">
      <c r="B202" s="12" t="s">
        <v>571</v>
      </c>
      <c r="C202" s="17" t="s">
        <v>572</v>
      </c>
      <c r="D202" s="17" t="s">
        <v>68</v>
      </c>
      <c r="E202" s="13" t="n">
        <v>1</v>
      </c>
      <c r="F202" s="13" t="n">
        <v>3</v>
      </c>
      <c r="G202" s="13" t="n">
        <v>0</v>
      </c>
      <c r="H202" s="18" t="n">
        <f aca="false">N(G202)-N(F202)</f>
        <v>-3</v>
      </c>
      <c r="I202" s="13" t="n">
        <v>3</v>
      </c>
      <c r="J202" s="19" t="s">
        <v>52</v>
      </c>
    </row>
    <row r="203" customFormat="false" ht="15" hidden="false" customHeight="false" outlineLevel="0" collapsed="false">
      <c r="B203" s="12" t="s">
        <v>573</v>
      </c>
      <c r="C203" s="17" t="s">
        <v>574</v>
      </c>
      <c r="D203" s="17"/>
      <c r="E203" s="13" t="n">
        <v>1</v>
      </c>
      <c r="F203" s="13" t="n">
        <v>0</v>
      </c>
      <c r="G203" s="13" t="n">
        <v>8</v>
      </c>
      <c r="H203" s="18" t="n">
        <f aca="false">N(G203)-N(F203)</f>
        <v>8</v>
      </c>
      <c r="I203" s="13"/>
      <c r="J203" s="19" t="s">
        <v>43</v>
      </c>
    </row>
    <row r="204" customFormat="false" ht="15" hidden="false" customHeight="false" outlineLevel="0" collapsed="false">
      <c r="B204" s="12" t="s">
        <v>575</v>
      </c>
      <c r="C204" s="17" t="s">
        <v>576</v>
      </c>
      <c r="D204" s="17"/>
      <c r="E204" s="13" t="n">
        <v>1</v>
      </c>
      <c r="F204" s="13" t="n">
        <v>0</v>
      </c>
      <c r="G204" s="13" t="n">
        <v>2</v>
      </c>
      <c r="H204" s="18" t="n">
        <f aca="false">N(G204)-N(F204)</f>
        <v>2</v>
      </c>
      <c r="I204" s="13"/>
      <c r="J204" s="19" t="s">
        <v>39</v>
      </c>
    </row>
    <row r="205" customFormat="false" ht="15" hidden="false" customHeight="false" outlineLevel="0" collapsed="false">
      <c r="B205" s="12" t="s">
        <v>577</v>
      </c>
      <c r="C205" s="17" t="s">
        <v>578</v>
      </c>
      <c r="D205" s="17" t="s">
        <v>68</v>
      </c>
      <c r="E205" s="13" t="n">
        <v>1</v>
      </c>
      <c r="F205" s="13" t="n">
        <v>0</v>
      </c>
      <c r="G205" s="13" t="n">
        <v>1</v>
      </c>
      <c r="H205" s="18" t="n">
        <f aca="false">N(G205)-N(F205)</f>
        <v>1</v>
      </c>
      <c r="I205" s="13" t="n">
        <v>1</v>
      </c>
      <c r="J205" s="19" t="s">
        <v>41</v>
      </c>
    </row>
    <row r="206" customFormat="false" ht="15" hidden="false" customHeight="false" outlineLevel="0" collapsed="false">
      <c r="B206" s="12" t="s">
        <v>579</v>
      </c>
      <c r="C206" s="17" t="s">
        <v>580</v>
      </c>
      <c r="D206" s="17"/>
      <c r="E206" s="13" t="n">
        <v>1</v>
      </c>
      <c r="F206" s="13" t="n">
        <v>0</v>
      </c>
      <c r="G206" s="13" t="n">
        <v>1</v>
      </c>
      <c r="H206" s="18" t="n">
        <f aca="false">N(G206)-N(F206)</f>
        <v>1</v>
      </c>
      <c r="I206" s="13"/>
      <c r="J206" s="19" t="s">
        <v>44</v>
      </c>
    </row>
    <row r="207" customFormat="false" ht="15" hidden="false" customHeight="false" outlineLevel="0" collapsed="false">
      <c r="B207" s="12" t="s">
        <v>581</v>
      </c>
      <c r="C207" s="17" t="s">
        <v>582</v>
      </c>
      <c r="D207" s="17"/>
      <c r="E207" s="13" t="n">
        <v>1</v>
      </c>
      <c r="F207" s="13" t="n">
        <v>0</v>
      </c>
      <c r="G207" s="13" t="n">
        <v>1</v>
      </c>
      <c r="H207" s="18" t="n">
        <f aca="false">N(G207)-N(F207)</f>
        <v>1</v>
      </c>
      <c r="I207" s="13"/>
      <c r="J207" s="19" t="s">
        <v>39</v>
      </c>
    </row>
    <row r="208" customFormat="false" ht="15" hidden="false" customHeight="false" outlineLevel="0" collapsed="false">
      <c r="B208" s="12" t="s">
        <v>583</v>
      </c>
      <c r="C208" s="17" t="s">
        <v>584</v>
      </c>
      <c r="D208" s="17" t="s">
        <v>68</v>
      </c>
      <c r="E208" s="13" t="n">
        <v>1</v>
      </c>
      <c r="F208" s="13" t="n">
        <v>12</v>
      </c>
      <c r="G208" s="13" t="n">
        <v>12</v>
      </c>
      <c r="H208" s="18" t="n">
        <f aca="false">N(G208)-N(F208)</f>
        <v>0</v>
      </c>
      <c r="I208" s="13" t="n">
        <v>12</v>
      </c>
      <c r="J208" s="19" t="s">
        <v>52</v>
      </c>
    </row>
    <row r="209" customFormat="false" ht="15" hidden="false" customHeight="false" outlineLevel="0" collapsed="false">
      <c r="B209" s="12" t="s">
        <v>585</v>
      </c>
      <c r="C209" s="17" t="s">
        <v>586</v>
      </c>
      <c r="D209" s="17"/>
      <c r="E209" s="13" t="n">
        <v>1</v>
      </c>
      <c r="F209" s="13" t="n">
        <v>0</v>
      </c>
      <c r="G209" s="13" t="n">
        <v>6</v>
      </c>
      <c r="H209" s="18" t="n">
        <f aca="false">N(G209)-N(F209)</f>
        <v>6</v>
      </c>
      <c r="I209" s="13"/>
      <c r="J209" s="19" t="s">
        <v>52</v>
      </c>
    </row>
    <row r="210" customFormat="false" ht="15" hidden="false" customHeight="false" outlineLevel="0" collapsed="false">
      <c r="B210" s="12" t="s">
        <v>587</v>
      </c>
      <c r="C210" s="17" t="s">
        <v>588</v>
      </c>
      <c r="D210" s="17"/>
      <c r="E210" s="13" t="n">
        <v>1</v>
      </c>
      <c r="F210" s="13" t="n">
        <v>0</v>
      </c>
      <c r="G210" s="13" t="n">
        <v>3</v>
      </c>
      <c r="H210" s="18" t="n">
        <f aca="false">N(G210)-N(F210)</f>
        <v>3</v>
      </c>
      <c r="I210" s="13"/>
      <c r="J210" s="19" t="s">
        <v>39</v>
      </c>
    </row>
    <row r="211" customFormat="false" ht="15" hidden="false" customHeight="false" outlineLevel="0" collapsed="false">
      <c r="B211" s="12" t="s">
        <v>589</v>
      </c>
      <c r="C211" s="17" t="s">
        <v>590</v>
      </c>
      <c r="D211" s="17"/>
      <c r="E211" s="13" t="n">
        <v>1</v>
      </c>
      <c r="F211" s="13" t="n">
        <v>0</v>
      </c>
      <c r="G211" s="13" t="n">
        <v>2456</v>
      </c>
      <c r="H211" s="18" t="n">
        <f aca="false">N(G211)-N(F211)</f>
        <v>2456</v>
      </c>
      <c r="I211" s="13"/>
      <c r="J211" s="19" t="s">
        <v>50</v>
      </c>
    </row>
    <row r="212" customFormat="false" ht="15" hidden="false" customHeight="false" outlineLevel="0" collapsed="false">
      <c r="B212" s="12" t="s">
        <v>591</v>
      </c>
      <c r="C212" s="17" t="s">
        <v>367</v>
      </c>
      <c r="D212" s="17"/>
      <c r="E212" s="13" t="n">
        <v>1</v>
      </c>
      <c r="F212" s="13" t="n">
        <v>0</v>
      </c>
      <c r="G212" s="13" t="n">
        <v>1</v>
      </c>
      <c r="H212" s="18" t="n">
        <f aca="false">N(G212)-N(F212)</f>
        <v>1</v>
      </c>
      <c r="I212" s="13"/>
      <c r="J212" s="19" t="s">
        <v>51</v>
      </c>
    </row>
    <row r="213" customFormat="false" ht="15" hidden="false" customHeight="false" outlineLevel="0" collapsed="false">
      <c r="B213" s="12" t="s">
        <v>592</v>
      </c>
      <c r="C213" s="17" t="s">
        <v>588</v>
      </c>
      <c r="D213" s="17"/>
      <c r="E213" s="13" t="n">
        <v>1</v>
      </c>
      <c r="F213" s="13" t="n">
        <v>0</v>
      </c>
      <c r="G213" s="13" t="n">
        <v>3</v>
      </c>
      <c r="H213" s="18" t="n">
        <f aca="false">N(G213)-N(F213)</f>
        <v>3</v>
      </c>
      <c r="I213" s="13"/>
      <c r="J213" s="19" t="s">
        <v>39</v>
      </c>
    </row>
    <row r="214" customFormat="false" ht="15" hidden="false" customHeight="false" outlineLevel="0" collapsed="false">
      <c r="B214" s="12" t="s">
        <v>593</v>
      </c>
      <c r="C214" s="17" t="s">
        <v>594</v>
      </c>
      <c r="D214" s="17" t="s">
        <v>68</v>
      </c>
      <c r="E214" s="13" t="n">
        <v>1</v>
      </c>
      <c r="F214" s="13" t="n">
        <v>4</v>
      </c>
      <c r="G214" s="13" t="n">
        <v>4</v>
      </c>
      <c r="H214" s="18" t="n">
        <f aca="false">N(G214)-N(F214)</f>
        <v>0</v>
      </c>
      <c r="I214" s="13" t="n">
        <v>4</v>
      </c>
      <c r="J214" s="19" t="s">
        <v>50</v>
      </c>
    </row>
    <row r="215" customFormat="false" ht="15" hidden="false" customHeight="false" outlineLevel="0" collapsed="false">
      <c r="B215" s="12" t="s">
        <v>595</v>
      </c>
      <c r="C215" s="17" t="s">
        <v>596</v>
      </c>
      <c r="D215" s="17"/>
      <c r="E215" s="13" t="n">
        <v>1</v>
      </c>
      <c r="F215" s="13" t="n">
        <v>0</v>
      </c>
      <c r="G215" s="13" t="n">
        <v>1</v>
      </c>
      <c r="H215" s="18" t="n">
        <f aca="false">N(G215)-N(F215)</f>
        <v>1</v>
      </c>
      <c r="I215" s="13"/>
      <c r="J215" s="19" t="s">
        <v>46</v>
      </c>
    </row>
    <row r="216" customFormat="false" ht="15" hidden="false" customHeight="false" outlineLevel="0" collapsed="false">
      <c r="B216" s="12" t="s">
        <v>597</v>
      </c>
      <c r="C216" s="17" t="s">
        <v>598</v>
      </c>
      <c r="D216" s="17"/>
      <c r="E216" s="13" t="n">
        <v>1</v>
      </c>
      <c r="F216" s="13" t="n">
        <v>0</v>
      </c>
      <c r="G216" s="13" t="n">
        <v>150</v>
      </c>
      <c r="H216" s="18" t="n">
        <f aca="false">N(G216)-N(F216)</f>
        <v>150</v>
      </c>
      <c r="I216" s="13"/>
      <c r="J216" s="19" t="s">
        <v>52</v>
      </c>
    </row>
    <row r="217" customFormat="false" ht="15" hidden="false" customHeight="false" outlineLevel="0" collapsed="false">
      <c r="B217" s="12" t="s">
        <v>599</v>
      </c>
      <c r="C217" s="17" t="s">
        <v>600</v>
      </c>
      <c r="D217" s="17"/>
      <c r="E217" s="13" t="n">
        <v>1</v>
      </c>
      <c r="F217" s="13" t="n">
        <v>0</v>
      </c>
      <c r="G217" s="13" t="n">
        <v>2</v>
      </c>
      <c r="H217" s="18" t="n">
        <f aca="false">N(G217)-N(F217)</f>
        <v>2</v>
      </c>
      <c r="I217" s="13"/>
      <c r="J217" s="19" t="s">
        <v>52</v>
      </c>
    </row>
    <row r="218" customFormat="false" ht="15" hidden="false" customHeight="false" outlineLevel="0" collapsed="false">
      <c r="B218" s="12" t="s">
        <v>601</v>
      </c>
      <c r="C218" s="17" t="s">
        <v>602</v>
      </c>
      <c r="D218" s="17"/>
      <c r="E218" s="13" t="n">
        <v>1</v>
      </c>
      <c r="F218" s="13" t="n">
        <v>0</v>
      </c>
      <c r="G218" s="13" t="n">
        <v>18</v>
      </c>
      <c r="H218" s="18" t="n">
        <f aca="false">N(G218)-N(F218)</f>
        <v>18</v>
      </c>
      <c r="I218" s="13"/>
      <c r="J218" s="19" t="s">
        <v>52</v>
      </c>
    </row>
    <row r="219" customFormat="false" ht="15" hidden="false" customHeight="false" outlineLevel="0" collapsed="false">
      <c r="B219" s="12" t="s">
        <v>603</v>
      </c>
      <c r="C219" s="17" t="s">
        <v>604</v>
      </c>
      <c r="D219" s="17"/>
      <c r="E219" s="13" t="n">
        <v>1</v>
      </c>
      <c r="F219" s="13" t="n">
        <v>0</v>
      </c>
      <c r="G219" s="13" t="n">
        <v>1</v>
      </c>
      <c r="H219" s="18" t="n">
        <f aca="false">N(G219)-N(F219)</f>
        <v>1</v>
      </c>
      <c r="I219" s="13"/>
      <c r="J219" s="19" t="s">
        <v>44</v>
      </c>
    </row>
    <row r="220" customFormat="false" ht="15" hidden="false" customHeight="false" outlineLevel="0" collapsed="false">
      <c r="B220" s="12" t="s">
        <v>605</v>
      </c>
      <c r="C220" s="17" t="s">
        <v>541</v>
      </c>
      <c r="D220" s="17"/>
      <c r="E220" s="13" t="n">
        <v>1</v>
      </c>
      <c r="F220" s="13" t="n">
        <v>0</v>
      </c>
      <c r="G220" s="13" t="n">
        <v>2</v>
      </c>
      <c r="H220" s="18" t="n">
        <f aca="false">N(G220)-N(F220)</f>
        <v>2</v>
      </c>
      <c r="I220" s="13"/>
      <c r="J220" s="19" t="s">
        <v>43</v>
      </c>
    </row>
    <row r="221" customFormat="false" ht="15" hidden="false" customHeight="false" outlineLevel="0" collapsed="false">
      <c r="B221" s="12" t="s">
        <v>606</v>
      </c>
      <c r="C221" s="17" t="s">
        <v>607</v>
      </c>
      <c r="D221" s="17"/>
      <c r="E221" s="13" t="n">
        <v>1</v>
      </c>
      <c r="F221" s="13" t="n">
        <v>0</v>
      </c>
      <c r="G221" s="13" t="n">
        <v>1</v>
      </c>
      <c r="H221" s="18" t="n">
        <f aca="false">N(G221)-N(F221)</f>
        <v>1</v>
      </c>
      <c r="I221" s="13"/>
      <c r="J221" s="19" t="s">
        <v>52</v>
      </c>
    </row>
    <row r="222" customFormat="false" ht="15" hidden="false" customHeight="false" outlineLevel="0" collapsed="false">
      <c r="B222" s="12" t="s">
        <v>608</v>
      </c>
      <c r="C222" s="17" t="s">
        <v>609</v>
      </c>
      <c r="D222" s="17"/>
      <c r="E222" s="13" t="n">
        <v>1</v>
      </c>
      <c r="F222" s="13" t="n">
        <v>0</v>
      </c>
      <c r="G222" s="13" t="n">
        <v>1</v>
      </c>
      <c r="H222" s="18" t="n">
        <f aca="false">N(G222)-N(F222)</f>
        <v>1</v>
      </c>
      <c r="I222" s="13"/>
      <c r="J222" s="19" t="s">
        <v>39</v>
      </c>
    </row>
    <row r="223" customFormat="false" ht="15" hidden="false" customHeight="false" outlineLevel="0" collapsed="false">
      <c r="B223" s="12" t="s">
        <v>610</v>
      </c>
      <c r="C223" s="17" t="s">
        <v>611</v>
      </c>
      <c r="D223" s="17"/>
      <c r="E223" s="13" t="n">
        <v>1</v>
      </c>
      <c r="F223" s="13" t="n">
        <v>0</v>
      </c>
      <c r="G223" s="13" t="n">
        <v>8</v>
      </c>
      <c r="H223" s="18" t="n">
        <f aca="false">N(G223)-N(F223)</f>
        <v>8</v>
      </c>
      <c r="I223" s="13"/>
      <c r="J223" s="19" t="s">
        <v>43</v>
      </c>
    </row>
    <row r="224" customFormat="false" ht="15" hidden="false" customHeight="false" outlineLevel="0" collapsed="false">
      <c r="B224" s="12" t="s">
        <v>612</v>
      </c>
      <c r="C224" s="17" t="s">
        <v>588</v>
      </c>
      <c r="D224" s="17"/>
      <c r="E224" s="13" t="n">
        <v>1</v>
      </c>
      <c r="F224" s="13" t="n">
        <v>0</v>
      </c>
      <c r="G224" s="13" t="n">
        <v>3</v>
      </c>
      <c r="H224" s="18" t="n">
        <f aca="false">N(G224)-N(F224)</f>
        <v>3</v>
      </c>
      <c r="I224" s="13"/>
      <c r="J224" s="19" t="s">
        <v>39</v>
      </c>
    </row>
    <row r="225" customFormat="false" ht="15" hidden="false" customHeight="false" outlineLevel="0" collapsed="false">
      <c r="B225" s="12" t="s">
        <v>613</v>
      </c>
      <c r="C225" s="17" t="s">
        <v>614</v>
      </c>
      <c r="D225" s="17"/>
      <c r="E225" s="13" t="n">
        <v>1</v>
      </c>
      <c r="F225" s="13" t="n">
        <v>18</v>
      </c>
      <c r="G225" s="13" t="n">
        <v>0</v>
      </c>
      <c r="H225" s="18" t="n">
        <f aca="false">N(G225)-N(F225)</f>
        <v>-18</v>
      </c>
      <c r="I225" s="13"/>
      <c r="J225" s="19" t="s">
        <v>41</v>
      </c>
    </row>
    <row r="226" customFormat="false" ht="15" hidden="false" customHeight="false" outlineLevel="0" collapsed="false">
      <c r="B226" s="12" t="s">
        <v>615</v>
      </c>
      <c r="C226" s="17" t="s">
        <v>616</v>
      </c>
      <c r="D226" s="17"/>
      <c r="E226" s="13" t="n">
        <v>1</v>
      </c>
      <c r="F226" s="13" t="n">
        <v>0</v>
      </c>
      <c r="G226" s="13" t="n">
        <v>4</v>
      </c>
      <c r="H226" s="18" t="n">
        <f aca="false">N(G226)-N(F226)</f>
        <v>4</v>
      </c>
      <c r="I226" s="13"/>
      <c r="J226" s="19" t="s">
        <v>51</v>
      </c>
    </row>
    <row r="227" customFormat="false" ht="15" hidden="false" customHeight="false" outlineLevel="0" collapsed="false">
      <c r="B227" s="12" t="s">
        <v>617</v>
      </c>
      <c r="C227" s="17" t="s">
        <v>618</v>
      </c>
      <c r="D227" s="17"/>
      <c r="E227" s="13" t="n">
        <v>1</v>
      </c>
      <c r="F227" s="13" t="n">
        <v>15</v>
      </c>
      <c r="G227" s="13" t="n">
        <v>0</v>
      </c>
      <c r="H227" s="18" t="n">
        <f aca="false">N(G227)-N(F227)</f>
        <v>-15</v>
      </c>
      <c r="I227" s="13"/>
      <c r="J227" s="19" t="s">
        <v>46</v>
      </c>
    </row>
    <row r="228" customFormat="false" ht="15" hidden="false" customHeight="false" outlineLevel="0" collapsed="false">
      <c r="B228" s="12" t="s">
        <v>619</v>
      </c>
      <c r="C228" s="17" t="s">
        <v>620</v>
      </c>
      <c r="D228" s="17"/>
      <c r="E228" s="13" t="n">
        <v>1</v>
      </c>
      <c r="F228" s="13" t="n">
        <v>0</v>
      </c>
      <c r="G228" s="13" t="n">
        <v>3</v>
      </c>
      <c r="H228" s="18" t="n">
        <f aca="false">N(G228)-N(F228)</f>
        <v>3</v>
      </c>
      <c r="I228" s="13"/>
      <c r="J228" s="19" t="s">
        <v>44</v>
      </c>
    </row>
    <row r="229" customFormat="false" ht="15" hidden="false" customHeight="false" outlineLevel="0" collapsed="false">
      <c r="B229" s="12" t="s">
        <v>621</v>
      </c>
      <c r="C229" s="17" t="s">
        <v>622</v>
      </c>
      <c r="D229" s="17"/>
      <c r="E229" s="13" t="n">
        <v>1</v>
      </c>
      <c r="F229" s="13" t="n">
        <v>0</v>
      </c>
      <c r="G229" s="13" t="n">
        <v>1</v>
      </c>
      <c r="H229" s="18" t="n">
        <f aca="false">N(G229)-N(F229)</f>
        <v>1</v>
      </c>
      <c r="I229" s="13"/>
      <c r="J229" s="19" t="s">
        <v>39</v>
      </c>
    </row>
    <row r="230" customFormat="false" ht="15" hidden="false" customHeight="false" outlineLevel="0" collapsed="false">
      <c r="B230" s="12" t="s">
        <v>623</v>
      </c>
      <c r="C230" s="17" t="s">
        <v>624</v>
      </c>
      <c r="D230" s="17"/>
      <c r="E230" s="13" t="n">
        <v>1</v>
      </c>
      <c r="F230" s="13" t="n">
        <v>0</v>
      </c>
      <c r="G230" s="13" t="n">
        <v>3</v>
      </c>
      <c r="H230" s="18" t="n">
        <f aca="false">N(G230)-N(F230)</f>
        <v>3</v>
      </c>
      <c r="I230" s="13"/>
      <c r="J230" s="19" t="s">
        <v>39</v>
      </c>
    </row>
    <row r="231" customFormat="false" ht="15" hidden="false" customHeight="false" outlineLevel="0" collapsed="false">
      <c r="B231" s="12" t="s">
        <v>625</v>
      </c>
      <c r="C231" s="17" t="s">
        <v>626</v>
      </c>
      <c r="D231" s="17" t="s">
        <v>68</v>
      </c>
      <c r="E231" s="13" t="n">
        <v>1</v>
      </c>
      <c r="F231" s="13" t="n">
        <v>1</v>
      </c>
      <c r="G231" s="13" t="n">
        <v>1</v>
      </c>
      <c r="H231" s="18" t="n">
        <f aca="false">N(G231)-N(F231)</f>
        <v>0</v>
      </c>
      <c r="I231" s="13" t="n">
        <v>1</v>
      </c>
      <c r="J231" s="19" t="s">
        <v>40</v>
      </c>
    </row>
    <row r="232" customFormat="false" ht="15" hidden="false" customHeight="false" outlineLevel="0" collapsed="false">
      <c r="B232" s="12" t="s">
        <v>627</v>
      </c>
      <c r="C232" s="17" t="s">
        <v>628</v>
      </c>
      <c r="D232" s="17" t="s">
        <v>68</v>
      </c>
      <c r="E232" s="13" t="n">
        <v>1</v>
      </c>
      <c r="F232" s="13" t="n">
        <v>30</v>
      </c>
      <c r="G232" s="13" t="n">
        <v>8</v>
      </c>
      <c r="H232" s="18" t="n">
        <f aca="false">N(G232)-N(F232)</f>
        <v>-22</v>
      </c>
      <c r="I232" s="13" t="n">
        <v>30</v>
      </c>
      <c r="J232" s="19" t="s">
        <v>43</v>
      </c>
    </row>
    <row r="233" customFormat="false" ht="15" hidden="false" customHeight="false" outlineLevel="0" collapsed="false">
      <c r="B233" s="12" t="s">
        <v>629</v>
      </c>
      <c r="C233" s="17" t="s">
        <v>630</v>
      </c>
      <c r="D233" s="17"/>
      <c r="E233" s="13" t="n">
        <v>1</v>
      </c>
      <c r="F233" s="13" t="n">
        <v>0</v>
      </c>
      <c r="G233" s="13" t="n">
        <v>896</v>
      </c>
      <c r="H233" s="18" t="n">
        <f aca="false">N(G233)-N(F233)</f>
        <v>896</v>
      </c>
      <c r="I233" s="13"/>
      <c r="J233" s="19" t="s">
        <v>48</v>
      </c>
    </row>
    <row r="234" customFormat="false" ht="15" hidden="false" customHeight="false" outlineLevel="0" collapsed="false">
      <c r="B234" s="12" t="s">
        <v>631</v>
      </c>
      <c r="C234" s="17" t="s">
        <v>632</v>
      </c>
      <c r="D234" s="17"/>
      <c r="E234" s="13" t="n">
        <v>1</v>
      </c>
      <c r="F234" s="13" t="n">
        <v>0</v>
      </c>
      <c r="G234" s="13" t="n">
        <v>3</v>
      </c>
      <c r="H234" s="18" t="n">
        <f aca="false">N(G234)-N(F234)</f>
        <v>3</v>
      </c>
      <c r="I234" s="13"/>
      <c r="J234" s="19" t="s">
        <v>44</v>
      </c>
    </row>
    <row r="235" customFormat="false" ht="15" hidden="false" customHeight="false" outlineLevel="0" collapsed="false">
      <c r="B235" s="12" t="s">
        <v>633</v>
      </c>
      <c r="C235" s="17" t="s">
        <v>634</v>
      </c>
      <c r="D235" s="17"/>
      <c r="E235" s="13" t="n">
        <v>1</v>
      </c>
      <c r="F235" s="13" t="n">
        <v>0</v>
      </c>
      <c r="G235" s="13" t="n">
        <v>1</v>
      </c>
      <c r="H235" s="18" t="n">
        <f aca="false">N(G235)-N(F235)</f>
        <v>1</v>
      </c>
      <c r="I235" s="13"/>
      <c r="J235" s="19" t="s">
        <v>42</v>
      </c>
    </row>
    <row r="236" customFormat="false" ht="15" hidden="false" customHeight="false" outlineLevel="0" collapsed="false">
      <c r="B236" s="12" t="s">
        <v>635</v>
      </c>
      <c r="C236" s="17" t="s">
        <v>636</v>
      </c>
      <c r="D236" s="17"/>
      <c r="E236" s="13" t="n">
        <v>1</v>
      </c>
      <c r="F236" s="13" t="n">
        <v>0</v>
      </c>
      <c r="G236" s="13" t="n">
        <v>4</v>
      </c>
      <c r="H236" s="18" t="n">
        <f aca="false">N(G236)-N(F236)</f>
        <v>4</v>
      </c>
      <c r="I236" s="13"/>
      <c r="J236" s="19" t="s">
        <v>44</v>
      </c>
    </row>
    <row r="237" customFormat="false" ht="15" hidden="false" customHeight="false" outlineLevel="0" collapsed="false">
      <c r="B237" s="12" t="s">
        <v>637</v>
      </c>
      <c r="C237" s="17" t="s">
        <v>638</v>
      </c>
      <c r="D237" s="17"/>
      <c r="E237" s="13" t="n">
        <v>1</v>
      </c>
      <c r="F237" s="13" t="n">
        <v>0</v>
      </c>
      <c r="G237" s="13" t="n">
        <v>3</v>
      </c>
      <c r="H237" s="18" t="n">
        <f aca="false">N(G237)-N(F237)</f>
        <v>3</v>
      </c>
      <c r="I237" s="13"/>
      <c r="J237" s="19" t="s">
        <v>43</v>
      </c>
    </row>
    <row r="238" customFormat="false" ht="15" hidden="false" customHeight="false" outlineLevel="0" collapsed="false">
      <c r="B238" s="12" t="s">
        <v>639</v>
      </c>
      <c r="C238" s="17" t="s">
        <v>638</v>
      </c>
      <c r="D238" s="17"/>
      <c r="E238" s="13" t="n">
        <v>1</v>
      </c>
      <c r="F238" s="13" t="n">
        <v>0</v>
      </c>
      <c r="G238" s="13" t="n">
        <v>1</v>
      </c>
      <c r="H238" s="18" t="n">
        <f aca="false">N(G238)-N(F238)</f>
        <v>1</v>
      </c>
      <c r="I238" s="13"/>
      <c r="J238" s="19" t="s">
        <v>43</v>
      </c>
    </row>
    <row r="239" customFormat="false" ht="15" hidden="false" customHeight="false" outlineLevel="0" collapsed="false">
      <c r="B239" s="12" t="s">
        <v>640</v>
      </c>
      <c r="C239" s="17" t="s">
        <v>641</v>
      </c>
      <c r="D239" s="17"/>
      <c r="E239" s="13" t="n">
        <v>1</v>
      </c>
      <c r="F239" s="13" t="n">
        <v>0</v>
      </c>
      <c r="G239" s="13" t="n">
        <v>4</v>
      </c>
      <c r="H239" s="18" t="n">
        <f aca="false">N(G239)-N(F239)</f>
        <v>4</v>
      </c>
      <c r="I239" s="13"/>
      <c r="J239" s="19" t="s">
        <v>43</v>
      </c>
    </row>
    <row r="240" customFormat="false" ht="15" hidden="false" customHeight="false" outlineLevel="0" collapsed="false">
      <c r="B240" s="12" t="s">
        <v>642</v>
      </c>
      <c r="C240" s="17" t="s">
        <v>222</v>
      </c>
      <c r="D240" s="17"/>
      <c r="E240" s="13" t="n">
        <v>1</v>
      </c>
      <c r="F240" s="13" t="n">
        <v>0</v>
      </c>
      <c r="G240" s="13" t="n">
        <v>1</v>
      </c>
      <c r="H240" s="18" t="n">
        <f aca="false">N(G240)-N(F240)</f>
        <v>1</v>
      </c>
      <c r="I240" s="13"/>
      <c r="J240" s="19" t="s">
        <v>51</v>
      </c>
    </row>
    <row r="241" customFormat="false" ht="15" hidden="false" customHeight="false" outlineLevel="0" collapsed="false">
      <c r="B241" s="12" t="s">
        <v>643</v>
      </c>
      <c r="C241" s="17" t="s">
        <v>644</v>
      </c>
      <c r="D241" s="17"/>
      <c r="E241" s="13" t="n">
        <v>1</v>
      </c>
      <c r="F241" s="13" t="n">
        <v>0</v>
      </c>
      <c r="G241" s="13" t="n">
        <v>8</v>
      </c>
      <c r="H241" s="18" t="n">
        <f aca="false">N(G241)-N(F241)</f>
        <v>8</v>
      </c>
      <c r="I241" s="13"/>
      <c r="J241" s="19" t="s">
        <v>43</v>
      </c>
    </row>
    <row r="242" customFormat="false" ht="15" hidden="false" customHeight="false" outlineLevel="0" collapsed="false">
      <c r="B242" s="12" t="s">
        <v>645</v>
      </c>
      <c r="C242" s="17" t="s">
        <v>646</v>
      </c>
      <c r="D242" s="17"/>
      <c r="E242" s="13" t="n">
        <v>1</v>
      </c>
      <c r="F242" s="13" t="n">
        <v>0</v>
      </c>
      <c r="G242" s="13" t="n">
        <v>16</v>
      </c>
      <c r="H242" s="18" t="n">
        <f aca="false">N(G242)-N(F242)</f>
        <v>16</v>
      </c>
      <c r="I242" s="13"/>
      <c r="J242" s="19" t="s">
        <v>43</v>
      </c>
    </row>
    <row r="243" customFormat="false" ht="15" hidden="false" customHeight="false" outlineLevel="0" collapsed="false">
      <c r="B243" s="12" t="s">
        <v>647</v>
      </c>
      <c r="C243" s="17" t="s">
        <v>648</v>
      </c>
      <c r="D243" s="17"/>
      <c r="E243" s="13" t="n">
        <v>1</v>
      </c>
      <c r="F243" s="13" t="n">
        <v>0</v>
      </c>
      <c r="G243" s="13" t="n">
        <v>16</v>
      </c>
      <c r="H243" s="18" t="n">
        <f aca="false">N(G243)-N(F243)</f>
        <v>16</v>
      </c>
      <c r="I243" s="13"/>
      <c r="J243" s="19" t="s">
        <v>43</v>
      </c>
    </row>
    <row r="244" customFormat="false" ht="15" hidden="false" customHeight="false" outlineLevel="0" collapsed="false">
      <c r="B244" s="12" t="s">
        <v>649</v>
      </c>
      <c r="C244" s="17" t="s">
        <v>650</v>
      </c>
      <c r="D244" s="17"/>
      <c r="E244" s="13" t="n">
        <v>1</v>
      </c>
      <c r="F244" s="13" t="n">
        <v>2</v>
      </c>
      <c r="G244" s="13" t="n">
        <v>2</v>
      </c>
      <c r="H244" s="18" t="n">
        <f aca="false">N(G244)-N(F244)</f>
        <v>0</v>
      </c>
      <c r="I244" s="13"/>
      <c r="J244" s="19" t="s">
        <v>41</v>
      </c>
    </row>
    <row r="245" customFormat="false" ht="15" hidden="false" customHeight="false" outlineLevel="0" collapsed="false">
      <c r="B245" s="12" t="s">
        <v>651</v>
      </c>
      <c r="C245" s="17" t="s">
        <v>652</v>
      </c>
      <c r="D245" s="17"/>
      <c r="E245" s="13" t="n">
        <v>1</v>
      </c>
      <c r="F245" s="13" t="n">
        <v>0</v>
      </c>
      <c r="G245" s="13" t="n">
        <v>12</v>
      </c>
      <c r="H245" s="18" t="n">
        <f aca="false">N(G245)-N(F245)</f>
        <v>12</v>
      </c>
      <c r="I245" s="13"/>
      <c r="J245" s="19" t="s">
        <v>43</v>
      </c>
    </row>
    <row r="246" customFormat="false" ht="15" hidden="false" customHeight="false" outlineLevel="0" collapsed="false">
      <c r="B246" s="12" t="s">
        <v>653</v>
      </c>
      <c r="C246" s="17" t="s">
        <v>654</v>
      </c>
      <c r="D246" s="17"/>
      <c r="E246" s="13" t="n">
        <v>1</v>
      </c>
      <c r="F246" s="13" t="n">
        <v>0</v>
      </c>
      <c r="G246" s="13" t="n">
        <v>1</v>
      </c>
      <c r="H246" s="18" t="n">
        <f aca="false">N(G246)-N(F246)</f>
        <v>1</v>
      </c>
      <c r="I246" s="13"/>
      <c r="J246" s="19" t="s">
        <v>39</v>
      </c>
    </row>
    <row r="247" customFormat="false" ht="15" hidden="false" customHeight="false" outlineLevel="0" collapsed="false">
      <c r="B247" s="12" t="s">
        <v>655</v>
      </c>
      <c r="C247" s="17" t="s">
        <v>656</v>
      </c>
      <c r="D247" s="17"/>
      <c r="E247" s="13" t="n">
        <v>1</v>
      </c>
      <c r="F247" s="13" t="n">
        <v>0</v>
      </c>
      <c r="G247" s="13" t="n">
        <v>12</v>
      </c>
      <c r="H247" s="18" t="n">
        <f aca="false">N(G247)-N(F247)</f>
        <v>12</v>
      </c>
      <c r="I247" s="13"/>
      <c r="J247" s="19" t="s">
        <v>43</v>
      </c>
    </row>
    <row r="248" customFormat="false" ht="15" hidden="false" customHeight="false" outlineLevel="0" collapsed="false">
      <c r="B248" s="12" t="s">
        <v>657</v>
      </c>
      <c r="C248" s="17" t="s">
        <v>658</v>
      </c>
      <c r="D248" s="17"/>
      <c r="E248" s="13" t="n">
        <v>1</v>
      </c>
      <c r="F248" s="13" t="n">
        <v>0</v>
      </c>
      <c r="G248" s="13" t="n">
        <v>1</v>
      </c>
      <c r="H248" s="18" t="n">
        <f aca="false">N(G248)-N(F248)</f>
        <v>1</v>
      </c>
      <c r="I248" s="13"/>
      <c r="J248" s="19" t="s">
        <v>43</v>
      </c>
    </row>
    <row r="249" customFormat="false" ht="15" hidden="false" customHeight="false" outlineLevel="0" collapsed="false">
      <c r="B249" s="12" t="s">
        <v>659</v>
      </c>
      <c r="C249" s="17" t="s">
        <v>660</v>
      </c>
      <c r="D249" s="17"/>
      <c r="E249" s="13" t="n">
        <v>1</v>
      </c>
      <c r="F249" s="13" t="n">
        <v>0</v>
      </c>
      <c r="G249" s="13" t="n">
        <v>3</v>
      </c>
      <c r="H249" s="18" t="n">
        <f aca="false">N(G249)-N(F249)</f>
        <v>3</v>
      </c>
      <c r="I249" s="13"/>
      <c r="J249" s="19" t="s">
        <v>39</v>
      </c>
    </row>
    <row r="250" customFormat="false" ht="15" hidden="false" customHeight="false" outlineLevel="0" collapsed="false">
      <c r="B250" s="12" t="s">
        <v>661</v>
      </c>
      <c r="C250" s="17" t="s">
        <v>662</v>
      </c>
      <c r="D250" s="17"/>
      <c r="E250" s="13" t="n">
        <v>1</v>
      </c>
      <c r="F250" s="13" t="n">
        <v>3</v>
      </c>
      <c r="G250" s="13" t="n">
        <v>0</v>
      </c>
      <c r="H250" s="18" t="n">
        <f aca="false">N(G250)-N(F250)</f>
        <v>-3</v>
      </c>
      <c r="I250" s="13"/>
      <c r="J250" s="19" t="s">
        <v>52</v>
      </c>
    </row>
    <row r="251" customFormat="false" ht="15" hidden="false" customHeight="false" outlineLevel="0" collapsed="false">
      <c r="B251" s="12" t="s">
        <v>663</v>
      </c>
      <c r="C251" s="17" t="s">
        <v>664</v>
      </c>
      <c r="D251" s="17"/>
      <c r="E251" s="13" t="n">
        <v>1</v>
      </c>
      <c r="F251" s="13" t="n">
        <v>0</v>
      </c>
      <c r="G251" s="13" t="n">
        <v>1</v>
      </c>
      <c r="H251" s="18" t="n">
        <f aca="false">N(G251)-N(F251)</f>
        <v>1</v>
      </c>
      <c r="I251" s="13"/>
      <c r="J251" s="19" t="s">
        <v>43</v>
      </c>
    </row>
    <row r="252" customFormat="false" ht="15" hidden="false" customHeight="false" outlineLevel="0" collapsed="false">
      <c r="B252" s="12" t="s">
        <v>665</v>
      </c>
      <c r="C252" s="17" t="s">
        <v>664</v>
      </c>
      <c r="D252" s="17" t="s">
        <v>68</v>
      </c>
      <c r="E252" s="13" t="n">
        <v>1</v>
      </c>
      <c r="F252" s="13" t="n">
        <v>4</v>
      </c>
      <c r="G252" s="13" t="n">
        <v>3</v>
      </c>
      <c r="H252" s="18" t="n">
        <f aca="false">N(G252)-N(F252)</f>
        <v>-1</v>
      </c>
      <c r="I252" s="13" t="n">
        <v>4</v>
      </c>
      <c r="J252" s="19" t="s">
        <v>43</v>
      </c>
    </row>
    <row r="253" customFormat="false" ht="15" hidden="false" customHeight="false" outlineLevel="0" collapsed="false">
      <c r="B253" s="12" t="s">
        <v>666</v>
      </c>
      <c r="C253" s="17" t="s">
        <v>667</v>
      </c>
      <c r="D253" s="17"/>
      <c r="E253" s="13" t="n">
        <v>1</v>
      </c>
      <c r="F253" s="13" t="n">
        <v>0</v>
      </c>
      <c r="G253" s="13" t="n">
        <v>1</v>
      </c>
      <c r="H253" s="18" t="n">
        <f aca="false">N(G253)-N(F253)</f>
        <v>1</v>
      </c>
      <c r="I253" s="13"/>
      <c r="J253" s="19" t="s">
        <v>46</v>
      </c>
    </row>
    <row r="254" customFormat="false" ht="15" hidden="false" customHeight="false" outlineLevel="0" collapsed="false">
      <c r="B254" s="12" t="s">
        <v>668</v>
      </c>
      <c r="C254" s="17" t="s">
        <v>669</v>
      </c>
      <c r="D254" s="17"/>
      <c r="E254" s="13" t="n">
        <v>1</v>
      </c>
      <c r="F254" s="13" t="n">
        <v>0</v>
      </c>
      <c r="G254" s="13" t="n">
        <v>8</v>
      </c>
      <c r="H254" s="18" t="n">
        <f aca="false">N(G254)-N(F254)</f>
        <v>8</v>
      </c>
      <c r="I254" s="13"/>
      <c r="J254" s="19" t="s">
        <v>43</v>
      </c>
    </row>
    <row r="255" customFormat="false" ht="15" hidden="false" customHeight="false" outlineLevel="0" collapsed="false">
      <c r="B255" s="12" t="s">
        <v>670</v>
      </c>
      <c r="C255" s="17" t="s">
        <v>671</v>
      </c>
      <c r="D255" s="17" t="s">
        <v>68</v>
      </c>
      <c r="E255" s="13" t="n">
        <v>1</v>
      </c>
      <c r="F255" s="13" t="n">
        <v>3</v>
      </c>
      <c r="G255" s="13" t="n">
        <v>3</v>
      </c>
      <c r="H255" s="18" t="n">
        <f aca="false">N(G255)-N(F255)</f>
        <v>0</v>
      </c>
      <c r="I255" s="13" t="n">
        <v>3</v>
      </c>
      <c r="J255" s="19" t="s">
        <v>52</v>
      </c>
    </row>
    <row r="256" customFormat="false" ht="15" hidden="false" customHeight="false" outlineLevel="0" collapsed="false">
      <c r="B256" s="12" t="s">
        <v>672</v>
      </c>
      <c r="C256" s="17" t="s">
        <v>673</v>
      </c>
      <c r="D256" s="17"/>
      <c r="E256" s="13" t="n">
        <v>1</v>
      </c>
      <c r="F256" s="13" t="n">
        <v>0</v>
      </c>
      <c r="G256" s="13" t="n">
        <v>3</v>
      </c>
      <c r="H256" s="18" t="n">
        <f aca="false">N(G256)-N(F256)</f>
        <v>3</v>
      </c>
      <c r="I256" s="13"/>
      <c r="J256" s="19" t="s">
        <v>48</v>
      </c>
    </row>
    <row r="257" customFormat="false" ht="15" hidden="false" customHeight="false" outlineLevel="0" collapsed="false">
      <c r="B257" s="3" t="s">
        <v>674</v>
      </c>
      <c r="C257" s="3" t="n">
        <f aca="false">COUNTA(B6:B256)</f>
        <v>251</v>
      </c>
    </row>
  </sheetData>
  <autoFilter ref="B5:J256"/>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3"/>
    <col collapsed="false" customWidth="true" hidden="false" outlineLevel="0" max="4" min="4" style="0" width="44"/>
    <col collapsed="false" customWidth="true" hidden="false" outlineLevel="0" max="5" min="5" style="0" width="8"/>
    <col collapsed="false" customWidth="true" hidden="false" outlineLevel="0" max="6" min="6" style="0" width="12"/>
    <col collapsed="false" customWidth="true" hidden="false" outlineLevel="0" max="9" min="7" style="0" width="14"/>
  </cols>
  <sheetData>
    <row r="2" customFormat="false" ht="16.15" hidden="false" customHeight="false" outlineLevel="0" collapsed="false">
      <c r="B2" s="10" t="s">
        <v>675</v>
      </c>
    </row>
    <row r="3" customFormat="false" ht="15" hidden="false" customHeight="false" outlineLevel="0" collapsed="false">
      <c r="B3" s="6" t="s">
        <v>676</v>
      </c>
    </row>
    <row r="5" customFormat="false" ht="23.85" hidden="false" customHeight="false" outlineLevel="0" collapsed="false">
      <c r="B5" s="11" t="s">
        <v>33</v>
      </c>
      <c r="C5" s="11" t="s">
        <v>57</v>
      </c>
      <c r="D5" s="11" t="s">
        <v>58</v>
      </c>
      <c r="E5" s="11" t="s">
        <v>59</v>
      </c>
      <c r="F5" s="11" t="s">
        <v>61</v>
      </c>
      <c r="G5" s="11" t="s">
        <v>62</v>
      </c>
      <c r="H5" s="11" t="s">
        <v>63</v>
      </c>
      <c r="I5" s="11" t="s">
        <v>64</v>
      </c>
    </row>
    <row r="6" customFormat="false" ht="15" hidden="false" customHeight="false" outlineLevel="0" collapsed="false">
      <c r="B6" s="12" t="s">
        <v>38</v>
      </c>
      <c r="C6" s="12" t="s">
        <v>481</v>
      </c>
      <c r="D6" s="17" t="s">
        <v>482</v>
      </c>
      <c r="E6" s="17"/>
      <c r="F6" s="13" t="n">
        <v>0</v>
      </c>
      <c r="G6" s="13" t="n">
        <v>1</v>
      </c>
      <c r="H6" s="18" t="n">
        <f aca="false">N(G6)-N(F6)</f>
        <v>1</v>
      </c>
      <c r="I6" s="13"/>
    </row>
    <row r="7" customFormat="false" ht="15" hidden="false" customHeight="false" outlineLevel="0" collapsed="false">
      <c r="B7" s="12" t="s">
        <v>38</v>
      </c>
      <c r="C7" s="12" t="s">
        <v>66</v>
      </c>
      <c r="D7" s="17" t="s">
        <v>67</v>
      </c>
      <c r="E7" s="17"/>
      <c r="F7" s="13" t="n">
        <v>0</v>
      </c>
      <c r="G7" s="13" t="n">
        <v>5</v>
      </c>
      <c r="H7" s="18" t="n">
        <f aca="false">N(G7)-N(F7)</f>
        <v>5</v>
      </c>
      <c r="I7" s="13"/>
    </row>
    <row r="8" customFormat="false" ht="15" hidden="false" customHeight="false" outlineLevel="0" collapsed="false">
      <c r="B8" s="12" t="s">
        <v>38</v>
      </c>
      <c r="C8" s="12" t="s">
        <v>187</v>
      </c>
      <c r="D8" s="17" t="s">
        <v>188</v>
      </c>
      <c r="E8" s="17" t="s">
        <v>68</v>
      </c>
      <c r="F8" s="13" t="n">
        <v>8</v>
      </c>
      <c r="G8" s="13" t="n">
        <v>1</v>
      </c>
      <c r="H8" s="18" t="n">
        <f aca="false">N(G8)-N(F8)</f>
        <v>-7</v>
      </c>
      <c r="I8" s="13" t="n">
        <v>8</v>
      </c>
    </row>
    <row r="9" customFormat="false" ht="15" hidden="false" customHeight="false" outlineLevel="0" collapsed="false">
      <c r="B9" s="12" t="s">
        <v>38</v>
      </c>
      <c r="C9" s="12" t="s">
        <v>228</v>
      </c>
      <c r="D9" s="17" t="s">
        <v>229</v>
      </c>
      <c r="E9" s="17" t="s">
        <v>68</v>
      </c>
      <c r="F9" s="13" t="n">
        <v>15</v>
      </c>
      <c r="G9" s="13" t="n">
        <v>18</v>
      </c>
      <c r="H9" s="18" t="n">
        <f aca="false">N(G9)-N(F9)</f>
        <v>3</v>
      </c>
      <c r="I9" s="13" t="n">
        <v>15</v>
      </c>
    </row>
    <row r="10" customFormat="false" ht="15" hidden="false" customHeight="false" outlineLevel="0" collapsed="false">
      <c r="B10" s="12" t="s">
        <v>38</v>
      </c>
      <c r="C10" s="12" t="s">
        <v>268</v>
      </c>
      <c r="D10" s="17" t="s">
        <v>269</v>
      </c>
      <c r="E10" s="17" t="s">
        <v>68</v>
      </c>
      <c r="F10" s="13" t="n">
        <v>16</v>
      </c>
      <c r="G10" s="13" t="n">
        <v>1</v>
      </c>
      <c r="H10" s="18" t="n">
        <f aca="false">N(G10)-N(F10)</f>
        <v>-15</v>
      </c>
      <c r="I10" s="13" t="n">
        <v>100</v>
      </c>
    </row>
    <row r="11" customFormat="false" ht="15" hidden="false" customHeight="false" outlineLevel="0" collapsed="false">
      <c r="B11" s="12" t="s">
        <v>38</v>
      </c>
      <c r="C11" s="12" t="s">
        <v>271</v>
      </c>
      <c r="D11" s="17" t="s">
        <v>272</v>
      </c>
      <c r="E11" s="17"/>
      <c r="F11" s="13" t="n">
        <v>0</v>
      </c>
      <c r="G11" s="13" t="n">
        <v>2</v>
      </c>
      <c r="H11" s="18" t="n">
        <f aca="false">N(G11)-N(F11)</f>
        <v>2</v>
      </c>
      <c r="I11" s="13"/>
    </row>
    <row r="12" customFormat="false" ht="15" hidden="false" customHeight="false" outlineLevel="0" collapsed="false">
      <c r="B12" s="12" t="s">
        <v>38</v>
      </c>
      <c r="C12" s="12" t="s">
        <v>129</v>
      </c>
      <c r="D12" s="17" t="s">
        <v>130</v>
      </c>
      <c r="E12" s="17"/>
      <c r="F12" s="13" t="n">
        <v>0</v>
      </c>
      <c r="G12" s="13" t="n">
        <v>12</v>
      </c>
      <c r="H12" s="18" t="n">
        <f aca="false">N(G12)-N(F12)</f>
        <v>12</v>
      </c>
      <c r="I12" s="13"/>
    </row>
    <row r="13" customFormat="false" ht="15" hidden="false" customHeight="false" outlineLevel="0" collapsed="false">
      <c r="B13" s="12" t="s">
        <v>38</v>
      </c>
      <c r="C13" s="12" t="s">
        <v>274</v>
      </c>
      <c r="D13" s="17" t="s">
        <v>275</v>
      </c>
      <c r="E13" s="17" t="s">
        <v>68</v>
      </c>
      <c r="F13" s="13" t="n">
        <v>0</v>
      </c>
      <c r="G13" s="13" t="n">
        <v>0</v>
      </c>
      <c r="H13" s="18" t="n">
        <f aca="false">N(G13)-N(F13)</f>
        <v>0</v>
      </c>
      <c r="I13" s="13" t="n">
        <v>60</v>
      </c>
    </row>
    <row r="14" customFormat="false" ht="15" hidden="false" customHeight="false" outlineLevel="0" collapsed="false">
      <c r="B14" s="12" t="s">
        <v>38</v>
      </c>
      <c r="C14" s="12" t="s">
        <v>557</v>
      </c>
      <c r="D14" s="17" t="s">
        <v>558</v>
      </c>
      <c r="E14" s="17" t="s">
        <v>68</v>
      </c>
      <c r="F14" s="13" t="n">
        <v>10</v>
      </c>
      <c r="G14" s="13" t="n">
        <v>0</v>
      </c>
      <c r="H14" s="18" t="n">
        <f aca="false">N(G14)-N(F14)</f>
        <v>-10</v>
      </c>
      <c r="I14" s="13" t="n">
        <v>10</v>
      </c>
    </row>
    <row r="15" customFormat="false" ht="15" hidden="false" customHeight="false" outlineLevel="0" collapsed="false">
      <c r="B15" s="12" t="s">
        <v>38</v>
      </c>
      <c r="C15" s="12" t="s">
        <v>285</v>
      </c>
      <c r="D15" s="17" t="s">
        <v>286</v>
      </c>
      <c r="E15" s="17" t="s">
        <v>68</v>
      </c>
      <c r="F15" s="13" t="n">
        <v>21</v>
      </c>
      <c r="G15" s="13" t="n">
        <v>12</v>
      </c>
      <c r="H15" s="18" t="n">
        <f aca="false">N(G15)-N(F15)</f>
        <v>-9</v>
      </c>
      <c r="I15" s="13" t="n">
        <v>192</v>
      </c>
    </row>
    <row r="16" customFormat="false" ht="15" hidden="false" customHeight="false" outlineLevel="0" collapsed="false">
      <c r="B16" s="12" t="s">
        <v>38</v>
      </c>
      <c r="C16" s="12" t="s">
        <v>234</v>
      </c>
      <c r="D16" s="17" t="s">
        <v>235</v>
      </c>
      <c r="E16" s="17"/>
      <c r="F16" s="13" t="n">
        <v>0</v>
      </c>
      <c r="G16" s="13" t="n">
        <v>2</v>
      </c>
      <c r="H16" s="18" t="n">
        <f aca="false">N(G16)-N(F16)</f>
        <v>2</v>
      </c>
      <c r="I16" s="13"/>
    </row>
    <row r="17" customFormat="false" ht="15" hidden="false" customHeight="false" outlineLevel="0" collapsed="false">
      <c r="B17" s="12" t="s">
        <v>38</v>
      </c>
      <c r="C17" s="12" t="s">
        <v>70</v>
      </c>
      <c r="D17" s="17" t="s">
        <v>71</v>
      </c>
      <c r="E17" s="17" t="s">
        <v>68</v>
      </c>
      <c r="F17" s="13" t="n">
        <v>146</v>
      </c>
      <c r="G17" s="13" t="n">
        <v>106</v>
      </c>
      <c r="H17" s="18" t="n">
        <f aca="false">N(G17)-N(F17)</f>
        <v>-40</v>
      </c>
      <c r="I17" s="13" t="n">
        <v>146</v>
      </c>
    </row>
    <row r="18" customFormat="false" ht="15" hidden="false" customHeight="false" outlineLevel="0" collapsed="false">
      <c r="B18" s="12" t="s">
        <v>38</v>
      </c>
      <c r="C18" s="12" t="s">
        <v>72</v>
      </c>
      <c r="D18" s="17" t="s">
        <v>73</v>
      </c>
      <c r="E18" s="17"/>
      <c r="F18" s="13" t="n">
        <v>0</v>
      </c>
      <c r="G18" s="13" t="n">
        <v>60</v>
      </c>
      <c r="H18" s="18" t="n">
        <f aca="false">N(G18)-N(F18)</f>
        <v>60</v>
      </c>
      <c r="I18" s="13"/>
    </row>
    <row r="19" customFormat="false" ht="15" hidden="false" customHeight="false" outlineLevel="0" collapsed="false">
      <c r="B19" s="12" t="s">
        <v>38</v>
      </c>
      <c r="C19" s="12" t="s">
        <v>74</v>
      </c>
      <c r="D19" s="17" t="s">
        <v>75</v>
      </c>
      <c r="E19" s="17" t="s">
        <v>68</v>
      </c>
      <c r="F19" s="13" t="n">
        <v>10</v>
      </c>
      <c r="G19" s="13" t="n">
        <v>30</v>
      </c>
      <c r="H19" s="18" t="n">
        <f aca="false">N(G19)-N(F19)</f>
        <v>20</v>
      </c>
      <c r="I19" s="13" t="n">
        <v>10</v>
      </c>
    </row>
    <row r="20" customFormat="false" ht="15" hidden="false" customHeight="false" outlineLevel="0" collapsed="false">
      <c r="B20" s="12" t="s">
        <v>38</v>
      </c>
      <c r="C20" s="12" t="s">
        <v>164</v>
      </c>
      <c r="D20" s="17" t="s">
        <v>165</v>
      </c>
      <c r="E20" s="17"/>
      <c r="F20" s="13" t="n">
        <v>0</v>
      </c>
      <c r="G20" s="13" t="n">
        <v>27</v>
      </c>
      <c r="H20" s="18" t="n">
        <f aca="false">N(G20)-N(F20)</f>
        <v>27</v>
      </c>
      <c r="I20" s="13"/>
    </row>
    <row r="21" customFormat="false" ht="15" hidden="false" customHeight="false" outlineLevel="0" collapsed="false">
      <c r="B21" s="12" t="s">
        <v>38</v>
      </c>
      <c r="C21" s="12" t="s">
        <v>167</v>
      </c>
      <c r="D21" s="17" t="s">
        <v>168</v>
      </c>
      <c r="E21" s="17" t="s">
        <v>68</v>
      </c>
      <c r="F21" s="13" t="n">
        <v>10</v>
      </c>
      <c r="G21" s="13" t="n">
        <v>0</v>
      </c>
      <c r="H21" s="18" t="n">
        <f aca="false">N(G21)-N(F21)</f>
        <v>-10</v>
      </c>
      <c r="I21" s="13" t="n">
        <v>10</v>
      </c>
    </row>
    <row r="22" customFormat="false" ht="15" hidden="false" customHeight="false" outlineLevel="0" collapsed="false">
      <c r="B22" s="12" t="s">
        <v>38</v>
      </c>
      <c r="C22" s="12" t="s">
        <v>76</v>
      </c>
      <c r="D22" s="17" t="s">
        <v>77</v>
      </c>
      <c r="E22" s="17" t="s">
        <v>68</v>
      </c>
      <c r="F22" s="13" t="n">
        <v>93</v>
      </c>
      <c r="G22" s="13" t="n">
        <v>80</v>
      </c>
      <c r="H22" s="18" t="n">
        <f aca="false">N(G22)-N(F22)</f>
        <v>-13</v>
      </c>
      <c r="I22" s="13" t="n">
        <v>125</v>
      </c>
    </row>
    <row r="23" customFormat="false" ht="15" hidden="false" customHeight="false" outlineLevel="0" collapsed="false">
      <c r="B23" s="12" t="s">
        <v>38</v>
      </c>
      <c r="C23" s="12" t="s">
        <v>493</v>
      </c>
      <c r="D23" s="17" t="s">
        <v>494</v>
      </c>
      <c r="E23" s="17"/>
      <c r="F23" s="13" t="n">
        <v>0</v>
      </c>
      <c r="G23" s="13" t="n">
        <v>5</v>
      </c>
      <c r="H23" s="18" t="n">
        <f aca="false">N(G23)-N(F23)</f>
        <v>5</v>
      </c>
      <c r="I23" s="13"/>
    </row>
    <row r="24" customFormat="false" ht="15" hidden="false" customHeight="false" outlineLevel="0" collapsed="false">
      <c r="B24" s="12" t="s">
        <v>38</v>
      </c>
      <c r="C24" s="12" t="s">
        <v>78</v>
      </c>
      <c r="D24" s="17" t="s">
        <v>79</v>
      </c>
      <c r="E24" s="17" t="s">
        <v>68</v>
      </c>
      <c r="F24" s="13" t="n">
        <v>0</v>
      </c>
      <c r="G24" s="13" t="n">
        <v>210</v>
      </c>
      <c r="H24" s="18" t="n">
        <f aca="false">N(G24)-N(F24)</f>
        <v>210</v>
      </c>
      <c r="I24" s="13" t="n">
        <v>12</v>
      </c>
    </row>
    <row r="25" customFormat="false" ht="15" hidden="false" customHeight="false" outlineLevel="0" collapsed="false">
      <c r="B25" s="12" t="s">
        <v>38</v>
      </c>
      <c r="C25" s="12" t="s">
        <v>80</v>
      </c>
      <c r="D25" s="17" t="s">
        <v>81</v>
      </c>
      <c r="E25" s="17" t="s">
        <v>68</v>
      </c>
      <c r="F25" s="13" t="n">
        <v>300</v>
      </c>
      <c r="G25" s="13" t="n">
        <v>319</v>
      </c>
      <c r="H25" s="18" t="n">
        <f aca="false">N(G25)-N(F25)</f>
        <v>19</v>
      </c>
      <c r="I25" s="13" t="n">
        <v>300</v>
      </c>
    </row>
    <row r="26" customFormat="false" ht="15" hidden="false" customHeight="false" outlineLevel="0" collapsed="false">
      <c r="B26" s="12" t="s">
        <v>38</v>
      </c>
      <c r="C26" s="12" t="s">
        <v>82</v>
      </c>
      <c r="D26" s="17" t="s">
        <v>83</v>
      </c>
      <c r="E26" s="17"/>
      <c r="F26" s="13" t="n">
        <v>0</v>
      </c>
      <c r="G26" s="13" t="n">
        <v>2</v>
      </c>
      <c r="H26" s="18" t="n">
        <f aca="false">N(G26)-N(F26)</f>
        <v>2</v>
      </c>
      <c r="I26" s="13"/>
    </row>
    <row r="27" customFormat="false" ht="15" hidden="false" customHeight="false" outlineLevel="0" collapsed="false">
      <c r="B27" s="12" t="s">
        <v>38</v>
      </c>
      <c r="C27" s="12" t="s">
        <v>563</v>
      </c>
      <c r="D27" s="17" t="s">
        <v>564</v>
      </c>
      <c r="E27" s="17"/>
      <c r="F27" s="13" t="n">
        <v>0</v>
      </c>
      <c r="G27" s="13" t="n">
        <v>1</v>
      </c>
      <c r="H27" s="18" t="n">
        <f aca="false">N(G27)-N(F27)</f>
        <v>1</v>
      </c>
      <c r="I27" s="13"/>
    </row>
    <row r="28" customFormat="false" ht="15" hidden="false" customHeight="false" outlineLevel="0" collapsed="false">
      <c r="B28" s="12" t="s">
        <v>38</v>
      </c>
      <c r="C28" s="12" t="s">
        <v>190</v>
      </c>
      <c r="D28" s="17" t="s">
        <v>191</v>
      </c>
      <c r="E28" s="17"/>
      <c r="F28" s="13" t="n">
        <v>0</v>
      </c>
      <c r="G28" s="13" t="n">
        <v>3</v>
      </c>
      <c r="H28" s="18" t="n">
        <f aca="false">N(G28)-N(F28)</f>
        <v>3</v>
      </c>
      <c r="I28" s="13"/>
    </row>
    <row r="29" customFormat="false" ht="15" hidden="false" customHeight="false" outlineLevel="0" collapsed="false">
      <c r="B29" s="12" t="s">
        <v>38</v>
      </c>
      <c r="C29" s="12" t="s">
        <v>291</v>
      </c>
      <c r="D29" s="17" t="s">
        <v>292</v>
      </c>
      <c r="E29" s="17"/>
      <c r="F29" s="13" t="n">
        <v>0</v>
      </c>
      <c r="G29" s="13" t="n">
        <v>250</v>
      </c>
      <c r="H29" s="18" t="n">
        <f aca="false">N(G29)-N(F29)</f>
        <v>250</v>
      </c>
      <c r="I29" s="13"/>
    </row>
    <row r="30" customFormat="false" ht="15" hidden="false" customHeight="false" outlineLevel="0" collapsed="false">
      <c r="B30" s="12" t="s">
        <v>38</v>
      </c>
      <c r="C30" s="12" t="s">
        <v>237</v>
      </c>
      <c r="D30" s="17" t="s">
        <v>238</v>
      </c>
      <c r="E30" s="17"/>
      <c r="F30" s="13" t="n">
        <v>0</v>
      </c>
      <c r="G30" s="13" t="n">
        <v>4</v>
      </c>
      <c r="H30" s="18" t="n">
        <f aca="false">N(G30)-N(F30)</f>
        <v>4</v>
      </c>
      <c r="I30" s="13"/>
    </row>
    <row r="31" customFormat="false" ht="15" hidden="false" customHeight="false" outlineLevel="0" collapsed="false">
      <c r="B31" s="12" t="s">
        <v>38</v>
      </c>
      <c r="C31" s="12" t="s">
        <v>84</v>
      </c>
      <c r="D31" s="17" t="s">
        <v>85</v>
      </c>
      <c r="E31" s="17" t="s">
        <v>68</v>
      </c>
      <c r="F31" s="13" t="n">
        <v>60</v>
      </c>
      <c r="G31" s="13" t="n">
        <v>12</v>
      </c>
      <c r="H31" s="18" t="n">
        <f aca="false">N(G31)-N(F31)</f>
        <v>-48</v>
      </c>
      <c r="I31" s="13" t="n">
        <v>60</v>
      </c>
    </row>
    <row r="32" customFormat="false" ht="15" hidden="false" customHeight="false" outlineLevel="0" collapsed="false">
      <c r="B32" s="12" t="s">
        <v>38</v>
      </c>
      <c r="C32" s="12" t="s">
        <v>193</v>
      </c>
      <c r="D32" s="17" t="s">
        <v>194</v>
      </c>
      <c r="E32" s="17" t="s">
        <v>68</v>
      </c>
      <c r="F32" s="13" t="n">
        <v>4</v>
      </c>
      <c r="G32" s="13" t="n">
        <v>7</v>
      </c>
      <c r="H32" s="18" t="n">
        <f aca="false">N(G32)-N(F32)</f>
        <v>3</v>
      </c>
      <c r="I32" s="13" t="n">
        <v>4</v>
      </c>
    </row>
    <row r="33" customFormat="false" ht="15" hidden="false" customHeight="false" outlineLevel="0" collapsed="false">
      <c r="B33" s="12" t="s">
        <v>38</v>
      </c>
      <c r="C33" s="12" t="s">
        <v>86</v>
      </c>
      <c r="D33" s="17" t="s">
        <v>87</v>
      </c>
      <c r="E33" s="17" t="s">
        <v>68</v>
      </c>
      <c r="F33" s="13" t="n">
        <v>22</v>
      </c>
      <c r="G33" s="13" t="n">
        <v>15</v>
      </c>
      <c r="H33" s="18" t="n">
        <f aca="false">N(G33)-N(F33)</f>
        <v>-7</v>
      </c>
      <c r="I33" s="13" t="n">
        <v>22</v>
      </c>
    </row>
    <row r="34" customFormat="false" ht="15" hidden="false" customHeight="false" outlineLevel="0" collapsed="false">
      <c r="B34" s="12" t="s">
        <v>38</v>
      </c>
      <c r="C34" s="12" t="s">
        <v>392</v>
      </c>
      <c r="D34" s="17" t="s">
        <v>393</v>
      </c>
      <c r="E34" s="17" t="s">
        <v>68</v>
      </c>
      <c r="F34" s="13" t="n">
        <v>6</v>
      </c>
      <c r="G34" s="13" t="n">
        <v>0</v>
      </c>
      <c r="H34" s="18" t="n">
        <f aca="false">N(G34)-N(F34)</f>
        <v>-6</v>
      </c>
      <c r="I34" s="13" t="n">
        <v>24</v>
      </c>
    </row>
    <row r="35" customFormat="false" ht="15" hidden="false" customHeight="false" outlineLevel="0" collapsed="false">
      <c r="B35" s="12" t="s">
        <v>38</v>
      </c>
      <c r="C35" s="12" t="s">
        <v>507</v>
      </c>
      <c r="D35" s="17" t="s">
        <v>508</v>
      </c>
      <c r="E35" s="17"/>
      <c r="F35" s="13" t="n">
        <v>0</v>
      </c>
      <c r="G35" s="13" t="n">
        <v>1</v>
      </c>
      <c r="H35" s="18" t="n">
        <f aca="false">N(G35)-N(F35)</f>
        <v>1</v>
      </c>
      <c r="I35" s="13"/>
    </row>
    <row r="36" customFormat="false" ht="15" hidden="false" customHeight="false" outlineLevel="0" collapsed="false">
      <c r="B36" s="12" t="s">
        <v>38</v>
      </c>
      <c r="C36" s="12" t="s">
        <v>132</v>
      </c>
      <c r="D36" s="17" t="s">
        <v>133</v>
      </c>
      <c r="E36" s="17" t="s">
        <v>68</v>
      </c>
      <c r="F36" s="13" t="n">
        <v>61</v>
      </c>
      <c r="G36" s="13" t="n">
        <v>43</v>
      </c>
      <c r="H36" s="18" t="n">
        <f aca="false">N(G36)-N(F36)</f>
        <v>-18</v>
      </c>
      <c r="I36" s="13" t="n">
        <v>61</v>
      </c>
    </row>
    <row r="37" customFormat="false" ht="15" hidden="false" customHeight="false" outlineLevel="0" collapsed="false">
      <c r="B37" s="12" t="s">
        <v>38</v>
      </c>
      <c r="C37" s="12" t="s">
        <v>294</v>
      </c>
      <c r="D37" s="17" t="s">
        <v>295</v>
      </c>
      <c r="E37" s="17"/>
      <c r="F37" s="13" t="n">
        <v>0</v>
      </c>
      <c r="G37" s="13" t="n">
        <v>3</v>
      </c>
      <c r="H37" s="18" t="n">
        <f aca="false">N(G37)-N(F37)</f>
        <v>3</v>
      </c>
      <c r="I37" s="13"/>
    </row>
    <row r="38" customFormat="false" ht="15" hidden="false" customHeight="false" outlineLevel="0" collapsed="false">
      <c r="B38" s="12" t="s">
        <v>38</v>
      </c>
      <c r="C38" s="12" t="s">
        <v>196</v>
      </c>
      <c r="D38" s="17" t="s">
        <v>197</v>
      </c>
      <c r="E38" s="17"/>
      <c r="F38" s="13" t="n">
        <v>0</v>
      </c>
      <c r="G38" s="13" t="n">
        <v>7</v>
      </c>
      <c r="H38" s="18" t="n">
        <f aca="false">N(G38)-N(F38)</f>
        <v>7</v>
      </c>
      <c r="I38" s="13"/>
    </row>
    <row r="39" customFormat="false" ht="15" hidden="false" customHeight="false" outlineLevel="0" collapsed="false">
      <c r="B39" s="12" t="s">
        <v>38</v>
      </c>
      <c r="C39" s="12" t="s">
        <v>419</v>
      </c>
      <c r="D39" s="17" t="s">
        <v>420</v>
      </c>
      <c r="E39" s="17"/>
      <c r="F39" s="13" t="n">
        <v>0</v>
      </c>
      <c r="G39" s="13" t="n">
        <v>4</v>
      </c>
      <c r="H39" s="18" t="n">
        <f aca="false">N(G39)-N(F39)</f>
        <v>4</v>
      </c>
      <c r="I39" s="13"/>
    </row>
    <row r="40" customFormat="false" ht="15" hidden="false" customHeight="false" outlineLevel="0" collapsed="false">
      <c r="B40" s="12" t="s">
        <v>38</v>
      </c>
      <c r="C40" s="12" t="s">
        <v>110</v>
      </c>
      <c r="D40" s="17" t="s">
        <v>111</v>
      </c>
      <c r="E40" s="17"/>
      <c r="F40" s="13" t="n">
        <v>0</v>
      </c>
      <c r="G40" s="13" t="n">
        <v>68</v>
      </c>
      <c r="H40" s="18" t="n">
        <f aca="false">N(G40)-N(F40)</f>
        <v>68</v>
      </c>
      <c r="I40" s="13"/>
    </row>
    <row r="41" customFormat="false" ht="15" hidden="false" customHeight="false" outlineLevel="0" collapsed="false">
      <c r="B41" s="12" t="s">
        <v>38</v>
      </c>
      <c r="C41" s="12" t="s">
        <v>135</v>
      </c>
      <c r="D41" s="17" t="s">
        <v>136</v>
      </c>
      <c r="E41" s="17" t="s">
        <v>94</v>
      </c>
      <c r="F41" s="13" t="n">
        <v>8300</v>
      </c>
      <c r="G41" s="13" t="n">
        <v>8801</v>
      </c>
      <c r="H41" s="18" t="n">
        <f aca="false">N(G41)-N(F41)</f>
        <v>501</v>
      </c>
      <c r="I41" s="13" t="n">
        <v>8667.4605</v>
      </c>
    </row>
    <row r="42" customFormat="false" ht="15" hidden="false" customHeight="false" outlineLevel="0" collapsed="false">
      <c r="B42" s="12" t="s">
        <v>38</v>
      </c>
      <c r="C42" s="12" t="s">
        <v>297</v>
      </c>
      <c r="D42" s="17" t="s">
        <v>298</v>
      </c>
      <c r="E42" s="17"/>
      <c r="F42" s="13" t="n">
        <v>0</v>
      </c>
      <c r="G42" s="13" t="n">
        <v>7</v>
      </c>
      <c r="H42" s="18" t="n">
        <f aca="false">N(G42)-N(F42)</f>
        <v>7</v>
      </c>
      <c r="I42" s="13"/>
    </row>
    <row r="43" customFormat="false" ht="15" hidden="false" customHeight="false" outlineLevel="0" collapsed="false">
      <c r="B43" s="12" t="s">
        <v>38</v>
      </c>
      <c r="C43" s="12" t="s">
        <v>198</v>
      </c>
      <c r="D43" s="17" t="s">
        <v>199</v>
      </c>
      <c r="E43" s="17"/>
      <c r="F43" s="13" t="n">
        <v>0</v>
      </c>
      <c r="G43" s="13" t="n">
        <v>31</v>
      </c>
      <c r="H43" s="18" t="n">
        <f aca="false">N(G43)-N(F43)</f>
        <v>31</v>
      </c>
      <c r="I43" s="13"/>
    </row>
    <row r="44" customFormat="false" ht="15" hidden="false" customHeight="false" outlineLevel="0" collapsed="false">
      <c r="B44" s="12" t="s">
        <v>38</v>
      </c>
      <c r="C44" s="12" t="s">
        <v>88</v>
      </c>
      <c r="D44" s="17" t="s">
        <v>89</v>
      </c>
      <c r="E44" s="17" t="s">
        <v>68</v>
      </c>
      <c r="F44" s="13" t="n">
        <v>62</v>
      </c>
      <c r="G44" s="13" t="n">
        <v>50</v>
      </c>
      <c r="H44" s="18" t="n">
        <f aca="false">N(G44)-N(F44)</f>
        <v>-12</v>
      </c>
      <c r="I44" s="13" t="n">
        <v>62</v>
      </c>
    </row>
    <row r="45" customFormat="false" ht="15" hidden="false" customHeight="false" outlineLevel="0" collapsed="false">
      <c r="B45" s="12" t="s">
        <v>38</v>
      </c>
      <c r="C45" s="12" t="s">
        <v>90</v>
      </c>
      <c r="D45" s="17" t="s">
        <v>91</v>
      </c>
      <c r="E45" s="17" t="s">
        <v>68</v>
      </c>
      <c r="F45" s="13" t="n">
        <v>33</v>
      </c>
      <c r="G45" s="13" t="n">
        <v>22</v>
      </c>
      <c r="H45" s="18" t="n">
        <f aca="false">N(G45)-N(F45)</f>
        <v>-11</v>
      </c>
      <c r="I45" s="13" t="n">
        <v>33</v>
      </c>
    </row>
    <row r="46" customFormat="false" ht="15" hidden="false" customHeight="false" outlineLevel="0" collapsed="false">
      <c r="B46" s="12" t="s">
        <v>38</v>
      </c>
      <c r="C46" s="12" t="s">
        <v>425</v>
      </c>
      <c r="D46" s="17" t="s">
        <v>426</v>
      </c>
      <c r="E46" s="17"/>
      <c r="F46" s="13" t="n">
        <v>0</v>
      </c>
      <c r="G46" s="13" t="n">
        <v>6</v>
      </c>
      <c r="H46" s="18" t="n">
        <f aca="false">N(G46)-N(F46)</f>
        <v>6</v>
      </c>
      <c r="I46" s="13"/>
    </row>
    <row r="47" customFormat="false" ht="15" hidden="false" customHeight="false" outlineLevel="0" collapsed="false">
      <c r="B47" s="12" t="s">
        <v>38</v>
      </c>
      <c r="C47" s="12" t="s">
        <v>322</v>
      </c>
      <c r="D47" s="17" t="s">
        <v>323</v>
      </c>
      <c r="E47" s="17"/>
      <c r="F47" s="13" t="n">
        <v>0</v>
      </c>
      <c r="G47" s="13" t="n">
        <v>3</v>
      </c>
      <c r="H47" s="18" t="n">
        <f aca="false">N(G47)-N(F47)</f>
        <v>3</v>
      </c>
      <c r="I47" s="13"/>
    </row>
    <row r="48" customFormat="false" ht="15" hidden="false" customHeight="false" outlineLevel="0" collapsed="false">
      <c r="B48" s="12" t="s">
        <v>38</v>
      </c>
      <c r="C48" s="12" t="s">
        <v>92</v>
      </c>
      <c r="D48" s="17" t="s">
        <v>93</v>
      </c>
      <c r="E48" s="17"/>
      <c r="F48" s="13" t="n">
        <v>0</v>
      </c>
      <c r="G48" s="13" t="n">
        <v>975</v>
      </c>
      <c r="H48" s="18" t="n">
        <f aca="false">N(G48)-N(F48)</f>
        <v>975</v>
      </c>
      <c r="I48" s="13"/>
    </row>
    <row r="49" customFormat="false" ht="15" hidden="false" customHeight="false" outlineLevel="0" collapsed="false">
      <c r="B49" s="12" t="s">
        <v>38</v>
      </c>
      <c r="C49" s="12" t="s">
        <v>240</v>
      </c>
      <c r="D49" s="17" t="s">
        <v>241</v>
      </c>
      <c r="E49" s="17" t="s">
        <v>94</v>
      </c>
      <c r="F49" s="13" t="n">
        <v>5100</v>
      </c>
      <c r="G49" s="13" t="n">
        <v>293</v>
      </c>
      <c r="H49" s="18" t="n">
        <f aca="false">N(G49)-N(F49)</f>
        <v>-4807</v>
      </c>
      <c r="I49" s="13" t="n">
        <v>7165.1937</v>
      </c>
    </row>
    <row r="50" customFormat="false" ht="15" hidden="false" customHeight="false" outlineLevel="0" collapsed="false">
      <c r="B50" s="12" t="s">
        <v>38</v>
      </c>
      <c r="C50" s="12" t="s">
        <v>95</v>
      </c>
      <c r="D50" s="17" t="s">
        <v>96</v>
      </c>
      <c r="E50" s="17" t="s">
        <v>68</v>
      </c>
      <c r="F50" s="13" t="n">
        <v>1</v>
      </c>
      <c r="G50" s="13" t="n">
        <v>1</v>
      </c>
      <c r="H50" s="18" t="n">
        <f aca="false">N(G50)-N(F50)</f>
        <v>0</v>
      </c>
      <c r="I50" s="13" t="n">
        <v>200</v>
      </c>
    </row>
    <row r="51" customFormat="false" ht="15" hidden="false" customHeight="false" outlineLevel="0" collapsed="false">
      <c r="B51" s="12" t="s">
        <v>38</v>
      </c>
      <c r="C51" s="12" t="s">
        <v>97</v>
      </c>
      <c r="D51" s="17" t="s">
        <v>98</v>
      </c>
      <c r="E51" s="17" t="s">
        <v>68</v>
      </c>
      <c r="F51" s="13" t="n">
        <v>93</v>
      </c>
      <c r="G51" s="13" t="n">
        <v>83</v>
      </c>
      <c r="H51" s="18" t="n">
        <f aca="false">N(G51)-N(F51)</f>
        <v>-10</v>
      </c>
      <c r="I51" s="13" t="n">
        <v>93</v>
      </c>
    </row>
    <row r="52" customFormat="false" ht="15" hidden="false" customHeight="false" outlineLevel="0" collapsed="false">
      <c r="B52" s="12" t="s">
        <v>38</v>
      </c>
      <c r="C52" s="12" t="s">
        <v>398</v>
      </c>
      <c r="D52" s="17" t="s">
        <v>399</v>
      </c>
      <c r="E52" s="17" t="s">
        <v>68</v>
      </c>
      <c r="F52" s="13" t="n">
        <v>0</v>
      </c>
      <c r="G52" s="13" t="n">
        <v>0</v>
      </c>
      <c r="H52" s="18" t="n">
        <f aca="false">N(G52)-N(F52)</f>
        <v>0</v>
      </c>
      <c r="I52" s="13" t="n">
        <v>120</v>
      </c>
    </row>
    <row r="53" customFormat="false" ht="15" hidden="false" customHeight="false" outlineLevel="0" collapsed="false">
      <c r="B53" s="12" t="s">
        <v>38</v>
      </c>
      <c r="C53" s="12" t="s">
        <v>201</v>
      </c>
      <c r="D53" s="17" t="s">
        <v>202</v>
      </c>
      <c r="E53" s="17"/>
      <c r="F53" s="13" t="n">
        <v>0</v>
      </c>
      <c r="G53" s="13" t="n">
        <v>3</v>
      </c>
      <c r="H53" s="18" t="n">
        <f aca="false">N(G53)-N(F53)</f>
        <v>3</v>
      </c>
      <c r="I53" s="13"/>
    </row>
    <row r="54" customFormat="false" ht="15" hidden="false" customHeight="false" outlineLevel="0" collapsed="false">
      <c r="B54" s="12" t="s">
        <v>38</v>
      </c>
      <c r="C54" s="12" t="s">
        <v>138</v>
      </c>
      <c r="D54" s="17" t="s">
        <v>139</v>
      </c>
      <c r="E54" s="17"/>
      <c r="F54" s="13" t="n">
        <v>0</v>
      </c>
      <c r="G54" s="13" t="n">
        <v>7</v>
      </c>
      <c r="H54" s="18" t="n">
        <f aca="false">N(G54)-N(F54)</f>
        <v>7</v>
      </c>
      <c r="I54" s="13"/>
    </row>
    <row r="55" customFormat="false" ht="15" hidden="false" customHeight="false" outlineLevel="0" collapsed="false">
      <c r="B55" s="12" t="s">
        <v>38</v>
      </c>
      <c r="C55" s="12" t="s">
        <v>427</v>
      </c>
      <c r="D55" s="17" t="s">
        <v>428</v>
      </c>
      <c r="E55" s="17"/>
      <c r="F55" s="13" t="n">
        <v>0</v>
      </c>
      <c r="G55" s="13" t="n">
        <v>3</v>
      </c>
      <c r="H55" s="18" t="n">
        <f aca="false">N(G55)-N(F55)</f>
        <v>3</v>
      </c>
      <c r="I55" s="13"/>
    </row>
    <row r="56" customFormat="false" ht="15" hidden="false" customHeight="false" outlineLevel="0" collapsed="false">
      <c r="B56" s="12" t="s">
        <v>38</v>
      </c>
      <c r="C56" s="12" t="s">
        <v>460</v>
      </c>
      <c r="D56" s="17" t="s">
        <v>461</v>
      </c>
      <c r="E56" s="17"/>
      <c r="F56" s="13" t="n">
        <v>0</v>
      </c>
      <c r="G56" s="13" t="n">
        <v>1</v>
      </c>
      <c r="H56" s="18" t="n">
        <f aca="false">N(G56)-N(F56)</f>
        <v>1</v>
      </c>
      <c r="I56" s="13"/>
    </row>
    <row r="57" customFormat="false" ht="15" hidden="false" customHeight="false" outlineLevel="0" collapsed="false">
      <c r="B57" s="12" t="s">
        <v>38</v>
      </c>
      <c r="C57" s="12" t="s">
        <v>242</v>
      </c>
      <c r="D57" s="17" t="s">
        <v>243</v>
      </c>
      <c r="E57" s="17" t="s">
        <v>68</v>
      </c>
      <c r="F57" s="13" t="n">
        <v>0</v>
      </c>
      <c r="G57" s="13" t="n">
        <v>2</v>
      </c>
      <c r="H57" s="18" t="n">
        <f aca="false">N(G57)-N(F57)</f>
        <v>2</v>
      </c>
      <c r="I57" s="13" t="n">
        <v>121</v>
      </c>
    </row>
    <row r="58" customFormat="false" ht="15" hidden="false" customHeight="false" outlineLevel="0" collapsed="false">
      <c r="B58" s="12" t="s">
        <v>38</v>
      </c>
      <c r="C58" s="12" t="s">
        <v>113</v>
      </c>
      <c r="D58" s="17" t="s">
        <v>114</v>
      </c>
      <c r="E58" s="17" t="s">
        <v>68</v>
      </c>
      <c r="F58" s="13" t="n">
        <v>62</v>
      </c>
      <c r="G58" s="13" t="n">
        <v>48</v>
      </c>
      <c r="H58" s="18" t="n">
        <f aca="false">N(G58)-N(F58)</f>
        <v>-14</v>
      </c>
      <c r="I58" s="13" t="n">
        <v>62</v>
      </c>
    </row>
    <row r="59" customFormat="false" ht="15" hidden="false" customHeight="false" outlineLevel="0" collapsed="false">
      <c r="B59" s="12" t="s">
        <v>38</v>
      </c>
      <c r="C59" s="12" t="s">
        <v>432</v>
      </c>
      <c r="D59" s="17" t="s">
        <v>433</v>
      </c>
      <c r="E59" s="17"/>
      <c r="F59" s="13" t="n">
        <v>0</v>
      </c>
      <c r="G59" s="13" t="n">
        <v>1</v>
      </c>
      <c r="H59" s="18" t="n">
        <f aca="false">N(G59)-N(F59)</f>
        <v>1</v>
      </c>
      <c r="I59" s="13"/>
    </row>
    <row r="60" customFormat="false" ht="15" hidden="false" customHeight="false" outlineLevel="0" collapsed="false">
      <c r="B60" s="12" t="s">
        <v>38</v>
      </c>
      <c r="C60" s="12" t="s">
        <v>115</v>
      </c>
      <c r="D60" s="17" t="s">
        <v>116</v>
      </c>
      <c r="E60" s="17" t="s">
        <v>68</v>
      </c>
      <c r="F60" s="13" t="n">
        <v>15</v>
      </c>
      <c r="G60" s="13" t="n">
        <v>0</v>
      </c>
      <c r="H60" s="18" t="n">
        <f aca="false">N(G60)-N(F60)</f>
        <v>-15</v>
      </c>
      <c r="I60" s="13" t="n">
        <v>15</v>
      </c>
    </row>
    <row r="61" customFormat="false" ht="15" hidden="false" customHeight="false" outlineLevel="0" collapsed="false">
      <c r="B61" s="12" t="s">
        <v>38</v>
      </c>
      <c r="C61" s="12" t="s">
        <v>369</v>
      </c>
      <c r="D61" s="17" t="s">
        <v>370</v>
      </c>
      <c r="E61" s="17"/>
      <c r="F61" s="13" t="n">
        <v>0</v>
      </c>
      <c r="G61" s="13" t="n">
        <v>1</v>
      </c>
      <c r="H61" s="18" t="n">
        <f aca="false">N(G61)-N(F61)</f>
        <v>1</v>
      </c>
      <c r="I61" s="13"/>
    </row>
    <row r="62" customFormat="false" ht="15" hidden="false" customHeight="false" outlineLevel="0" collapsed="false">
      <c r="B62" s="12" t="s">
        <v>38</v>
      </c>
      <c r="C62" s="12" t="s">
        <v>118</v>
      </c>
      <c r="D62" s="17" t="s">
        <v>119</v>
      </c>
      <c r="E62" s="17" t="s">
        <v>68</v>
      </c>
      <c r="F62" s="13" t="n">
        <v>23</v>
      </c>
      <c r="G62" s="13" t="n">
        <v>18</v>
      </c>
      <c r="H62" s="18" t="n">
        <f aca="false">N(G62)-N(F62)</f>
        <v>-5</v>
      </c>
      <c r="I62" s="13" t="n">
        <v>23</v>
      </c>
    </row>
    <row r="63" customFormat="false" ht="15" hidden="false" customHeight="false" outlineLevel="0" collapsed="false">
      <c r="B63" s="12" t="s">
        <v>38</v>
      </c>
      <c r="C63" s="12" t="s">
        <v>204</v>
      </c>
      <c r="D63" s="17" t="s">
        <v>205</v>
      </c>
      <c r="E63" s="17"/>
      <c r="F63" s="13" t="n">
        <v>0</v>
      </c>
      <c r="G63" s="13" t="n">
        <v>12</v>
      </c>
      <c r="H63" s="18" t="n">
        <f aca="false">N(G63)-N(F63)</f>
        <v>12</v>
      </c>
      <c r="I63" s="13"/>
    </row>
    <row r="64" customFormat="false" ht="15" hidden="false" customHeight="false" outlineLevel="0" collapsed="false">
      <c r="B64" s="12" t="s">
        <v>38</v>
      </c>
      <c r="C64" s="12" t="s">
        <v>99</v>
      </c>
      <c r="D64" s="17" t="s">
        <v>100</v>
      </c>
      <c r="E64" s="17" t="s">
        <v>68</v>
      </c>
      <c r="F64" s="13" t="n">
        <v>40</v>
      </c>
      <c r="G64" s="13" t="n">
        <v>29</v>
      </c>
      <c r="H64" s="18" t="n">
        <f aca="false">N(G64)-N(F64)</f>
        <v>-11</v>
      </c>
      <c r="I64" s="13" t="n">
        <v>40</v>
      </c>
    </row>
    <row r="65" customFormat="false" ht="15" hidden="false" customHeight="false" outlineLevel="0" collapsed="false">
      <c r="B65" s="12" t="s">
        <v>38</v>
      </c>
      <c r="C65" s="12" t="s">
        <v>173</v>
      </c>
      <c r="D65" s="17" t="s">
        <v>174</v>
      </c>
      <c r="E65" s="17"/>
      <c r="F65" s="13" t="n">
        <v>0</v>
      </c>
      <c r="G65" s="13" t="n">
        <v>22</v>
      </c>
      <c r="H65" s="18" t="n">
        <f aca="false">N(G65)-N(F65)</f>
        <v>22</v>
      </c>
      <c r="I65" s="13"/>
    </row>
    <row r="66" customFormat="false" ht="15" hidden="false" customHeight="false" outlineLevel="0" collapsed="false">
      <c r="B66" s="12" t="s">
        <v>38</v>
      </c>
      <c r="C66" s="12" t="s">
        <v>101</v>
      </c>
      <c r="D66" s="17" t="s">
        <v>102</v>
      </c>
      <c r="E66" s="17" t="s">
        <v>68</v>
      </c>
      <c r="F66" s="13" t="n">
        <v>0</v>
      </c>
      <c r="G66" s="13" t="n">
        <v>45</v>
      </c>
      <c r="H66" s="18" t="n">
        <f aca="false">N(G66)-N(F66)</f>
        <v>45</v>
      </c>
      <c r="I66" s="13" t="n">
        <v>30</v>
      </c>
    </row>
    <row r="67" customFormat="false" ht="15" hidden="false" customHeight="false" outlineLevel="0" collapsed="false">
      <c r="B67" s="12" t="s">
        <v>38</v>
      </c>
      <c r="C67" s="12" t="s">
        <v>121</v>
      </c>
      <c r="D67" s="17" t="s">
        <v>122</v>
      </c>
      <c r="E67" s="17"/>
      <c r="F67" s="13" t="n">
        <v>0</v>
      </c>
      <c r="G67" s="13" t="n">
        <v>46</v>
      </c>
      <c r="H67" s="18" t="n">
        <f aca="false">N(G67)-N(F67)</f>
        <v>46</v>
      </c>
      <c r="I67" s="13"/>
    </row>
    <row r="68" customFormat="false" ht="15" hidden="false" customHeight="false" outlineLevel="0" collapsed="false">
      <c r="B68" s="12" t="s">
        <v>38</v>
      </c>
      <c r="C68" s="12" t="s">
        <v>526</v>
      </c>
      <c r="D68" s="17" t="s">
        <v>527</v>
      </c>
      <c r="E68" s="17" t="s">
        <v>68</v>
      </c>
      <c r="F68" s="13" t="n">
        <v>0</v>
      </c>
      <c r="G68" s="13" t="n">
        <v>0</v>
      </c>
      <c r="H68" s="18" t="n">
        <f aca="false">N(G68)-N(F68)</f>
        <v>0</v>
      </c>
      <c r="I68" s="13" t="n">
        <v>3500</v>
      </c>
    </row>
    <row r="69" customFormat="false" ht="15" hidden="false" customHeight="false" outlineLevel="0" collapsed="false">
      <c r="B69" s="12" t="s">
        <v>38</v>
      </c>
      <c r="C69" s="12" t="s">
        <v>245</v>
      </c>
      <c r="D69" s="17" t="s">
        <v>246</v>
      </c>
      <c r="E69" s="17"/>
      <c r="F69" s="13" t="n">
        <v>0</v>
      </c>
      <c r="G69" s="13" t="n">
        <v>1</v>
      </c>
      <c r="H69" s="18" t="n">
        <f aca="false">N(G69)-N(F69)</f>
        <v>1</v>
      </c>
      <c r="I69" s="13"/>
    </row>
    <row r="70" customFormat="false" ht="15" hidden="false" customHeight="false" outlineLevel="0" collapsed="false">
      <c r="B70" s="12" t="s">
        <v>38</v>
      </c>
      <c r="C70" s="12" t="s">
        <v>141</v>
      </c>
      <c r="D70" s="17" t="s">
        <v>142</v>
      </c>
      <c r="E70" s="17"/>
      <c r="F70" s="13" t="n">
        <v>0</v>
      </c>
      <c r="G70" s="13" t="n">
        <v>12</v>
      </c>
      <c r="H70" s="18" t="n">
        <f aca="false">N(G70)-N(F70)</f>
        <v>12</v>
      </c>
      <c r="I70" s="13"/>
    </row>
    <row r="71" customFormat="false" ht="15" hidden="false" customHeight="false" outlineLevel="0" collapsed="false">
      <c r="B71" s="12" t="s">
        <v>38</v>
      </c>
      <c r="C71" s="12" t="s">
        <v>207</v>
      </c>
      <c r="D71" s="17" t="s">
        <v>208</v>
      </c>
      <c r="E71" s="17"/>
      <c r="F71" s="13" t="n">
        <v>0</v>
      </c>
      <c r="G71" s="13" t="n">
        <v>6</v>
      </c>
      <c r="H71" s="18" t="n">
        <f aca="false">N(G71)-N(F71)</f>
        <v>6</v>
      </c>
      <c r="I71" s="13"/>
    </row>
    <row r="72" customFormat="false" ht="15" hidden="false" customHeight="false" outlineLevel="0" collapsed="false">
      <c r="B72" s="12" t="s">
        <v>38</v>
      </c>
      <c r="C72" s="12" t="s">
        <v>210</v>
      </c>
      <c r="D72" s="17" t="s">
        <v>211</v>
      </c>
      <c r="E72" s="17"/>
      <c r="F72" s="13" t="n">
        <v>0</v>
      </c>
      <c r="G72" s="13" t="n">
        <v>27</v>
      </c>
      <c r="H72" s="18" t="n">
        <f aca="false">N(G72)-N(F72)</f>
        <v>27</v>
      </c>
      <c r="I72" s="13"/>
    </row>
    <row r="73" customFormat="false" ht="15" hidden="false" customHeight="false" outlineLevel="0" collapsed="false">
      <c r="B73" s="12" t="s">
        <v>38</v>
      </c>
      <c r="C73" s="12" t="s">
        <v>176</v>
      </c>
      <c r="D73" s="17" t="s">
        <v>177</v>
      </c>
      <c r="E73" s="17"/>
      <c r="F73" s="13" t="n">
        <v>0</v>
      </c>
      <c r="G73" s="13" t="n">
        <v>16</v>
      </c>
      <c r="H73" s="18" t="n">
        <f aca="false">N(G73)-N(F73)</f>
        <v>16</v>
      </c>
      <c r="I73" s="13"/>
    </row>
    <row r="74" customFormat="false" ht="15" hidden="false" customHeight="false" outlineLevel="0" collapsed="false">
      <c r="B74" s="12" t="s">
        <v>38</v>
      </c>
      <c r="C74" s="12" t="s">
        <v>212</v>
      </c>
      <c r="D74" s="17" t="s">
        <v>213</v>
      </c>
      <c r="E74" s="17" t="s">
        <v>68</v>
      </c>
      <c r="F74" s="13" t="n">
        <v>22</v>
      </c>
      <c r="G74" s="13" t="n">
        <v>24</v>
      </c>
      <c r="H74" s="18" t="n">
        <f aca="false">N(G74)-N(F74)</f>
        <v>2</v>
      </c>
      <c r="I74" s="13" t="n">
        <v>160</v>
      </c>
    </row>
    <row r="75" customFormat="false" ht="15" hidden="false" customHeight="false" outlineLevel="0" collapsed="false">
      <c r="B75" s="12" t="s">
        <v>38</v>
      </c>
      <c r="C75" s="12" t="s">
        <v>103</v>
      </c>
      <c r="D75" s="17" t="s">
        <v>104</v>
      </c>
      <c r="E75" s="17" t="s">
        <v>68</v>
      </c>
      <c r="F75" s="13" t="n">
        <v>301</v>
      </c>
      <c r="G75" s="13" t="n">
        <v>210</v>
      </c>
      <c r="H75" s="18" t="n">
        <f aca="false">N(G75)-N(F75)</f>
        <v>-91</v>
      </c>
      <c r="I75" s="13" t="n">
        <v>333</v>
      </c>
    </row>
    <row r="76" customFormat="false" ht="15" hidden="false" customHeight="false" outlineLevel="0" collapsed="false">
      <c r="B76" s="12" t="s">
        <v>38</v>
      </c>
      <c r="C76" s="12" t="s">
        <v>215</v>
      </c>
      <c r="D76" s="17" t="s">
        <v>216</v>
      </c>
      <c r="E76" s="17" t="s">
        <v>68</v>
      </c>
      <c r="F76" s="13" t="n">
        <v>0</v>
      </c>
      <c r="G76" s="13" t="n">
        <v>2</v>
      </c>
      <c r="H76" s="18" t="n">
        <f aca="false">N(G76)-N(F76)</f>
        <v>2</v>
      </c>
      <c r="I76" s="13" t="n">
        <v>3</v>
      </c>
    </row>
    <row r="77" customFormat="false" ht="15" hidden="false" customHeight="false" outlineLevel="0" collapsed="false">
      <c r="B77" s="12" t="s">
        <v>38</v>
      </c>
      <c r="C77" s="12" t="s">
        <v>179</v>
      </c>
      <c r="D77" s="17" t="s">
        <v>180</v>
      </c>
      <c r="E77" s="17" t="s">
        <v>68</v>
      </c>
      <c r="F77" s="13" t="n">
        <v>2</v>
      </c>
      <c r="G77" s="13" t="n">
        <v>2</v>
      </c>
      <c r="H77" s="18" t="n">
        <f aca="false">N(G77)-N(F77)</f>
        <v>0</v>
      </c>
      <c r="I77" s="13" t="n">
        <v>25</v>
      </c>
    </row>
    <row r="78" customFormat="false" ht="15" hidden="false" customHeight="false" outlineLevel="0" collapsed="false">
      <c r="B78" s="12" t="s">
        <v>38</v>
      </c>
      <c r="C78" s="12" t="s">
        <v>146</v>
      </c>
      <c r="D78" s="17" t="s">
        <v>147</v>
      </c>
      <c r="E78" s="17" t="s">
        <v>68</v>
      </c>
      <c r="F78" s="13" t="n">
        <v>4</v>
      </c>
      <c r="G78" s="13" t="n">
        <v>5</v>
      </c>
      <c r="H78" s="18" t="n">
        <f aca="false">N(G78)-N(F78)</f>
        <v>1</v>
      </c>
      <c r="I78" s="13" t="n">
        <v>4</v>
      </c>
    </row>
    <row r="79" customFormat="false" ht="15" hidden="false" customHeight="false" outlineLevel="0" collapsed="false">
      <c r="B79" s="12" t="s">
        <v>38</v>
      </c>
      <c r="C79" s="12" t="s">
        <v>182</v>
      </c>
      <c r="D79" s="17" t="s">
        <v>183</v>
      </c>
      <c r="E79" s="17" t="s">
        <v>68</v>
      </c>
      <c r="F79" s="13" t="n">
        <v>24</v>
      </c>
      <c r="G79" s="13" t="n">
        <v>13</v>
      </c>
      <c r="H79" s="18" t="n">
        <f aca="false">N(G79)-N(F79)</f>
        <v>-11</v>
      </c>
      <c r="I79" s="13" t="n">
        <v>24</v>
      </c>
    </row>
    <row r="80" customFormat="false" ht="15" hidden="false" customHeight="false" outlineLevel="0" collapsed="false">
      <c r="B80" s="12" t="s">
        <v>38</v>
      </c>
      <c r="C80" s="12" t="s">
        <v>372</v>
      </c>
      <c r="D80" s="17" t="s">
        <v>373</v>
      </c>
      <c r="E80" s="17" t="s">
        <v>68</v>
      </c>
      <c r="F80" s="13" t="n">
        <v>2</v>
      </c>
      <c r="G80" s="13" t="n">
        <v>3</v>
      </c>
      <c r="H80" s="18" t="n">
        <f aca="false">N(G80)-N(F80)</f>
        <v>1</v>
      </c>
      <c r="I80" s="13" t="n">
        <v>8</v>
      </c>
    </row>
    <row r="81" customFormat="false" ht="15" hidden="false" customHeight="false" outlineLevel="0" collapsed="false">
      <c r="B81" s="12" t="s">
        <v>38</v>
      </c>
      <c r="C81" s="12" t="s">
        <v>250</v>
      </c>
      <c r="D81" s="17" t="s">
        <v>251</v>
      </c>
      <c r="E81" s="17"/>
      <c r="F81" s="13" t="n">
        <v>0</v>
      </c>
      <c r="G81" s="13" t="n">
        <v>21</v>
      </c>
      <c r="H81" s="18" t="n">
        <f aca="false">N(G81)-N(F81)</f>
        <v>21</v>
      </c>
      <c r="I81" s="13"/>
    </row>
    <row r="82" customFormat="false" ht="15" hidden="false" customHeight="false" outlineLevel="0" collapsed="false">
      <c r="B82" s="12" t="s">
        <v>38</v>
      </c>
      <c r="C82" s="12" t="s">
        <v>148</v>
      </c>
      <c r="D82" s="17" t="s">
        <v>149</v>
      </c>
      <c r="E82" s="17"/>
      <c r="F82" s="13" t="n">
        <v>0</v>
      </c>
      <c r="G82" s="13" t="n">
        <v>58</v>
      </c>
      <c r="H82" s="18" t="n">
        <f aca="false">N(G82)-N(F82)</f>
        <v>58</v>
      </c>
      <c r="I82" s="13"/>
    </row>
    <row r="83" customFormat="false" ht="15" hidden="false" customHeight="false" outlineLevel="0" collapsed="false">
      <c r="B83" s="12" t="s">
        <v>38</v>
      </c>
      <c r="C83" s="12" t="s">
        <v>123</v>
      </c>
      <c r="D83" s="17" t="s">
        <v>124</v>
      </c>
      <c r="E83" s="17"/>
      <c r="F83" s="13" t="n">
        <v>0</v>
      </c>
      <c r="G83" s="13" t="n">
        <v>488</v>
      </c>
      <c r="H83" s="18" t="n">
        <f aca="false">N(G83)-N(F83)</f>
        <v>488</v>
      </c>
      <c r="I83" s="13"/>
    </row>
    <row r="84" customFormat="false" ht="15" hidden="false" customHeight="false" outlineLevel="0" collapsed="false">
      <c r="B84" s="12" t="s">
        <v>38</v>
      </c>
      <c r="C84" s="12" t="s">
        <v>105</v>
      </c>
      <c r="D84" s="17" t="s">
        <v>106</v>
      </c>
      <c r="E84" s="17"/>
      <c r="F84" s="13" t="n">
        <v>0</v>
      </c>
      <c r="G84" s="13" t="n">
        <v>2</v>
      </c>
      <c r="H84" s="18" t="n">
        <f aca="false">N(G84)-N(F84)</f>
        <v>2</v>
      </c>
      <c r="I84" s="13"/>
    </row>
    <row r="85" customFormat="false" ht="15" hidden="false" customHeight="false" outlineLevel="0" collapsed="false">
      <c r="B85" s="12" t="s">
        <v>38</v>
      </c>
      <c r="C85" s="12" t="s">
        <v>107</v>
      </c>
      <c r="D85" s="17" t="s">
        <v>108</v>
      </c>
      <c r="E85" s="17" t="s">
        <v>109</v>
      </c>
      <c r="F85" s="13" t="n">
        <v>0</v>
      </c>
      <c r="G85" s="13" t="n">
        <v>15</v>
      </c>
      <c r="H85" s="18" t="n">
        <f aca="false">N(G85)-N(F85)</f>
        <v>15</v>
      </c>
      <c r="I85" s="13" t="n">
        <v>50</v>
      </c>
    </row>
    <row r="86" customFormat="false" ht="15" hidden="false" customHeight="false" outlineLevel="0" collapsed="false">
      <c r="B86" s="12" t="s">
        <v>38</v>
      </c>
      <c r="C86" s="12" t="s">
        <v>307</v>
      </c>
      <c r="D86" s="17" t="s">
        <v>308</v>
      </c>
      <c r="E86" s="17" t="s">
        <v>68</v>
      </c>
      <c r="F86" s="13" t="n">
        <v>16</v>
      </c>
      <c r="G86" s="13" t="n">
        <v>0</v>
      </c>
      <c r="H86" s="18" t="n">
        <f aca="false">N(G86)-N(F86)</f>
        <v>-16</v>
      </c>
      <c r="I86" s="13" t="n">
        <v>16</v>
      </c>
    </row>
    <row r="87" customFormat="false" ht="15" hidden="false" customHeight="false" outlineLevel="0" collapsed="false">
      <c r="B87" s="12" t="s">
        <v>38</v>
      </c>
      <c r="C87" s="12" t="s">
        <v>356</v>
      </c>
      <c r="D87" s="17" t="s">
        <v>357</v>
      </c>
      <c r="E87" s="17"/>
      <c r="F87" s="13" t="n">
        <v>0</v>
      </c>
      <c r="G87" s="13" t="n">
        <v>3</v>
      </c>
      <c r="H87" s="18" t="n">
        <f aca="false">N(G87)-N(F87)</f>
        <v>3</v>
      </c>
      <c r="I87" s="13"/>
    </row>
    <row r="88" customFormat="false" ht="15" hidden="false" customHeight="false" outlineLevel="0" collapsed="false">
      <c r="B88" s="12" t="s">
        <v>38</v>
      </c>
      <c r="C88" s="12" t="s">
        <v>150</v>
      </c>
      <c r="D88" s="17" t="s">
        <v>151</v>
      </c>
      <c r="E88" s="17"/>
      <c r="F88" s="13" t="n">
        <v>0</v>
      </c>
      <c r="G88" s="13" t="n">
        <v>29</v>
      </c>
      <c r="H88" s="18" t="n">
        <f aca="false">N(G88)-N(F88)</f>
        <v>29</v>
      </c>
      <c r="I88" s="13"/>
    </row>
    <row r="89" customFormat="false" ht="15" hidden="false" customHeight="false" outlineLevel="0" collapsed="false">
      <c r="B89" s="12" t="s">
        <v>38</v>
      </c>
      <c r="C89" s="12" t="s">
        <v>184</v>
      </c>
      <c r="D89" s="17" t="s">
        <v>185</v>
      </c>
      <c r="E89" s="17" t="s">
        <v>68</v>
      </c>
      <c r="F89" s="13" t="n">
        <v>8</v>
      </c>
      <c r="G89" s="13" t="n">
        <v>2</v>
      </c>
      <c r="H89" s="18" t="n">
        <f aca="false">N(G89)-N(F89)</f>
        <v>-6</v>
      </c>
      <c r="I89" s="13" t="n">
        <v>8</v>
      </c>
    </row>
    <row r="90" customFormat="false" ht="15" hidden="false" customHeight="false" outlineLevel="0" collapsed="false">
      <c r="B90" s="12" t="s">
        <v>38</v>
      </c>
      <c r="C90" s="12" t="s">
        <v>404</v>
      </c>
      <c r="D90" s="17" t="s">
        <v>405</v>
      </c>
      <c r="E90" s="17" t="s">
        <v>68</v>
      </c>
      <c r="F90" s="13" t="n">
        <v>3</v>
      </c>
      <c r="G90" s="13" t="n">
        <v>3</v>
      </c>
      <c r="H90" s="18" t="n">
        <f aca="false">N(G90)-N(F90)</f>
        <v>0</v>
      </c>
      <c r="I90" s="13" t="n">
        <v>3</v>
      </c>
    </row>
    <row r="91" customFormat="false" ht="15" hidden="false" customHeight="false" outlineLevel="0" collapsed="false">
      <c r="B91" s="12" t="s">
        <v>38</v>
      </c>
      <c r="C91" s="12" t="s">
        <v>252</v>
      </c>
      <c r="D91" s="17" t="s">
        <v>253</v>
      </c>
      <c r="E91" s="17"/>
      <c r="F91" s="13" t="n">
        <v>0</v>
      </c>
      <c r="G91" s="13" t="n">
        <v>36</v>
      </c>
      <c r="H91" s="18" t="n">
        <f aca="false">N(G91)-N(F91)</f>
        <v>36</v>
      </c>
      <c r="I91" s="13"/>
    </row>
    <row r="92" customFormat="false" ht="15" hidden="false" customHeight="false" outlineLevel="0" collapsed="false">
      <c r="B92" s="12" t="s">
        <v>38</v>
      </c>
      <c r="C92" s="12" t="s">
        <v>152</v>
      </c>
      <c r="D92" s="17" t="s">
        <v>153</v>
      </c>
      <c r="E92" s="17"/>
      <c r="F92" s="13" t="n">
        <v>0</v>
      </c>
      <c r="G92" s="13" t="n">
        <v>22</v>
      </c>
      <c r="H92" s="18" t="n">
        <f aca="false">N(G92)-N(F92)</f>
        <v>22</v>
      </c>
      <c r="I92" s="13"/>
    </row>
    <row r="93" customFormat="false" ht="15" hidden="false" customHeight="false" outlineLevel="0" collapsed="false">
      <c r="B93" s="12" t="s">
        <v>38</v>
      </c>
      <c r="C93" s="12" t="s">
        <v>378</v>
      </c>
      <c r="D93" s="17" t="s">
        <v>379</v>
      </c>
      <c r="E93" s="17"/>
      <c r="F93" s="13" t="n">
        <v>0</v>
      </c>
      <c r="G93" s="13" t="n">
        <v>1</v>
      </c>
      <c r="H93" s="18" t="n">
        <f aca="false">N(G93)-N(F93)</f>
        <v>1</v>
      </c>
      <c r="I93" s="13"/>
    </row>
    <row r="94" customFormat="false" ht="15" hidden="false" customHeight="false" outlineLevel="0" collapsed="false">
      <c r="B94" s="12" t="s">
        <v>38</v>
      </c>
      <c r="C94" s="12" t="s">
        <v>155</v>
      </c>
      <c r="D94" s="17" t="s">
        <v>156</v>
      </c>
      <c r="E94" s="17"/>
      <c r="F94" s="13" t="n">
        <v>0</v>
      </c>
      <c r="G94" s="13" t="n">
        <v>7</v>
      </c>
      <c r="H94" s="18" t="n">
        <f aca="false">N(G94)-N(F94)</f>
        <v>7</v>
      </c>
      <c r="I94" s="13"/>
    </row>
    <row r="95" customFormat="false" ht="15" hidden="false" customHeight="false" outlineLevel="0" collapsed="false">
      <c r="B95" s="12" t="s">
        <v>38</v>
      </c>
      <c r="C95" s="12" t="s">
        <v>361</v>
      </c>
      <c r="D95" s="17" t="s">
        <v>362</v>
      </c>
      <c r="E95" s="17"/>
      <c r="F95" s="13" t="n">
        <v>0</v>
      </c>
      <c r="G95" s="13" t="n">
        <v>24</v>
      </c>
      <c r="H95" s="18" t="n">
        <f aca="false">N(G95)-N(F95)</f>
        <v>24</v>
      </c>
      <c r="I95" s="13"/>
    </row>
    <row r="96" customFormat="false" ht="15" hidden="false" customHeight="false" outlineLevel="0" collapsed="false">
      <c r="B96" s="12" t="s">
        <v>38</v>
      </c>
      <c r="C96" s="12" t="s">
        <v>475</v>
      </c>
      <c r="D96" s="17" t="s">
        <v>476</v>
      </c>
      <c r="E96" s="17"/>
      <c r="F96" s="13" t="n">
        <v>0</v>
      </c>
      <c r="G96" s="13" t="n">
        <v>1</v>
      </c>
      <c r="H96" s="18" t="n">
        <f aca="false">N(G96)-N(F96)</f>
        <v>1</v>
      </c>
      <c r="I96" s="13"/>
    </row>
    <row r="97" customFormat="false" ht="15" hidden="false" customHeight="false" outlineLevel="0" collapsed="false">
      <c r="B97" s="12" t="s">
        <v>38</v>
      </c>
      <c r="C97" s="12" t="s">
        <v>157</v>
      </c>
      <c r="D97" s="17" t="s">
        <v>158</v>
      </c>
      <c r="E97" s="17" t="s">
        <v>68</v>
      </c>
      <c r="F97" s="13" t="n">
        <v>40</v>
      </c>
      <c r="G97" s="13" t="n">
        <v>22</v>
      </c>
      <c r="H97" s="18" t="n">
        <f aca="false">N(G97)-N(F97)</f>
        <v>-18</v>
      </c>
      <c r="I97" s="13" t="n">
        <v>40</v>
      </c>
    </row>
    <row r="98" customFormat="false" ht="15" hidden="false" customHeight="false" outlineLevel="0" collapsed="false">
      <c r="B98" s="12" t="s">
        <v>38</v>
      </c>
      <c r="C98" s="12" t="s">
        <v>478</v>
      </c>
      <c r="D98" s="17" t="s">
        <v>479</v>
      </c>
      <c r="E98" s="17"/>
      <c r="F98" s="13" t="n">
        <v>0</v>
      </c>
      <c r="G98" s="13" t="n">
        <v>2</v>
      </c>
      <c r="H98" s="18" t="n">
        <f aca="false">N(G98)-N(F98)</f>
        <v>2</v>
      </c>
      <c r="I98" s="13"/>
    </row>
    <row r="99" customFormat="false" ht="15" hidden="false" customHeight="false" outlineLevel="0" collapsed="false">
      <c r="B99" s="12" t="s">
        <v>38</v>
      </c>
      <c r="C99" s="12" t="s">
        <v>218</v>
      </c>
      <c r="D99" s="17" t="s">
        <v>219</v>
      </c>
      <c r="E99" s="17" t="s">
        <v>68</v>
      </c>
      <c r="F99" s="13" t="n">
        <v>4</v>
      </c>
      <c r="G99" s="13" t="n">
        <v>3</v>
      </c>
      <c r="H99" s="18" t="n">
        <f aca="false">N(G99)-N(F99)</f>
        <v>-1</v>
      </c>
      <c r="I99" s="13" t="n">
        <v>4</v>
      </c>
    </row>
    <row r="100" customFormat="false" ht="15" hidden="false" customHeight="false" outlineLevel="0" collapsed="false">
      <c r="B100" s="12" t="s">
        <v>38</v>
      </c>
      <c r="C100" s="12" t="s">
        <v>159</v>
      </c>
      <c r="D100" s="17" t="s">
        <v>160</v>
      </c>
      <c r="E100" s="17" t="s">
        <v>68</v>
      </c>
      <c r="F100" s="13" t="n">
        <v>6</v>
      </c>
      <c r="G100" s="13" t="n">
        <v>2</v>
      </c>
      <c r="H100" s="18" t="n">
        <f aca="false">N(G100)-N(F100)</f>
        <v>-4</v>
      </c>
      <c r="I100" s="13" t="n">
        <v>17</v>
      </c>
    </row>
    <row r="101" customFormat="false" ht="15" hidden="false" customHeight="false" outlineLevel="0" collapsed="false">
      <c r="B101" s="12" t="s">
        <v>38</v>
      </c>
      <c r="C101" s="12" t="s">
        <v>312</v>
      </c>
      <c r="D101" s="17" t="s">
        <v>160</v>
      </c>
      <c r="E101" s="17" t="s">
        <v>68</v>
      </c>
      <c r="F101" s="13" t="n">
        <v>0</v>
      </c>
      <c r="G101" s="13" t="n">
        <v>0</v>
      </c>
      <c r="H101" s="18" t="n">
        <f aca="false">N(G101)-N(F101)</f>
        <v>0</v>
      </c>
      <c r="I101" s="13" t="n">
        <v>6</v>
      </c>
    </row>
    <row r="102" customFormat="false" ht="15" hidden="false" customHeight="false" outlineLevel="0" collapsed="false">
      <c r="B102" s="12" t="s">
        <v>38</v>
      </c>
      <c r="C102" s="12" t="s">
        <v>314</v>
      </c>
      <c r="D102" s="17" t="s">
        <v>160</v>
      </c>
      <c r="E102" s="17"/>
      <c r="F102" s="13" t="n">
        <v>0</v>
      </c>
      <c r="G102" s="13" t="n">
        <v>1</v>
      </c>
      <c r="H102" s="18" t="n">
        <f aca="false">N(G102)-N(F102)</f>
        <v>1</v>
      </c>
      <c r="I102" s="13"/>
    </row>
    <row r="103" customFormat="false" ht="15" hidden="false" customHeight="false" outlineLevel="0" collapsed="false">
      <c r="B103" s="12" t="s">
        <v>38</v>
      </c>
      <c r="C103" s="12" t="s">
        <v>440</v>
      </c>
      <c r="D103" s="17" t="s">
        <v>441</v>
      </c>
      <c r="E103" s="17"/>
      <c r="F103" s="13" t="n">
        <v>0</v>
      </c>
      <c r="G103" s="13" t="n">
        <v>1</v>
      </c>
      <c r="H103" s="18" t="n">
        <f aca="false">N(G103)-N(F103)</f>
        <v>1</v>
      </c>
      <c r="I103" s="13"/>
    </row>
    <row r="104" customFormat="false" ht="15" hidden="false" customHeight="false" outlineLevel="0" collapsed="false">
      <c r="B104" s="12" t="s">
        <v>38</v>
      </c>
      <c r="C104" s="12" t="s">
        <v>407</v>
      </c>
      <c r="D104" s="17" t="s">
        <v>408</v>
      </c>
      <c r="E104" s="17"/>
      <c r="F104" s="13" t="n">
        <v>0</v>
      </c>
      <c r="G104" s="13" t="n">
        <v>63</v>
      </c>
      <c r="H104" s="18" t="n">
        <f aca="false">N(G104)-N(F104)</f>
        <v>63</v>
      </c>
      <c r="I104" s="13"/>
    </row>
    <row r="105" customFormat="false" ht="15" hidden="false" customHeight="false" outlineLevel="0" collapsed="false">
      <c r="B105" s="12" t="s">
        <v>38</v>
      </c>
      <c r="C105" s="12" t="s">
        <v>125</v>
      </c>
      <c r="D105" s="17" t="s">
        <v>126</v>
      </c>
      <c r="E105" s="17"/>
      <c r="F105" s="13" t="n">
        <v>0</v>
      </c>
      <c r="G105" s="13" t="n">
        <v>19</v>
      </c>
      <c r="H105" s="18" t="n">
        <f aca="false">N(G105)-N(F105)</f>
        <v>19</v>
      </c>
      <c r="I105" s="13"/>
    </row>
    <row r="106" customFormat="false" ht="15" hidden="false" customHeight="false" outlineLevel="0" collapsed="false">
      <c r="B106" s="12" t="s">
        <v>38</v>
      </c>
      <c r="C106" s="12" t="s">
        <v>127</v>
      </c>
      <c r="D106" s="17" t="s">
        <v>128</v>
      </c>
      <c r="E106" s="17"/>
      <c r="F106" s="13" t="n">
        <v>0</v>
      </c>
      <c r="G106" s="13" t="n">
        <v>30</v>
      </c>
      <c r="H106" s="18" t="n">
        <f aca="false">N(G106)-N(F106)</f>
        <v>30</v>
      </c>
      <c r="I106" s="13"/>
    </row>
    <row r="107" customFormat="false" ht="15" hidden="false" customHeight="false" outlineLevel="0" collapsed="false">
      <c r="B107" s="12" t="s">
        <v>38</v>
      </c>
      <c r="C107" s="12" t="s">
        <v>258</v>
      </c>
      <c r="D107" s="17" t="s">
        <v>259</v>
      </c>
      <c r="E107" s="17" t="s">
        <v>68</v>
      </c>
      <c r="F107" s="13" t="n">
        <v>31</v>
      </c>
      <c r="G107" s="13" t="n">
        <v>32</v>
      </c>
      <c r="H107" s="18" t="n">
        <f aca="false">N(G107)-N(F107)</f>
        <v>1</v>
      </c>
      <c r="I107" s="13" t="n">
        <v>31</v>
      </c>
    </row>
    <row r="108" customFormat="false" ht="15" hidden="false" customHeight="false" outlineLevel="0" collapsed="false">
      <c r="B108" s="12" t="s">
        <v>38</v>
      </c>
      <c r="C108" s="12" t="s">
        <v>260</v>
      </c>
      <c r="D108" s="17" t="s">
        <v>261</v>
      </c>
      <c r="E108" s="17" t="s">
        <v>68</v>
      </c>
      <c r="F108" s="13" t="n">
        <v>15</v>
      </c>
      <c r="G108" s="13" t="n">
        <v>0</v>
      </c>
      <c r="H108" s="18" t="n">
        <f aca="false">N(G108)-N(F108)</f>
        <v>-15</v>
      </c>
      <c r="I108" s="13" t="n">
        <v>180</v>
      </c>
    </row>
    <row r="109" customFormat="false" ht="15" hidden="false" customHeight="false" outlineLevel="0" collapsed="false">
      <c r="B109" s="12" t="s">
        <v>38</v>
      </c>
      <c r="C109" s="12" t="s">
        <v>224</v>
      </c>
      <c r="D109" s="17" t="s">
        <v>225</v>
      </c>
      <c r="E109" s="17"/>
      <c r="F109" s="13" t="n">
        <v>0</v>
      </c>
      <c r="G109" s="13" t="n">
        <v>14</v>
      </c>
      <c r="H109" s="18" t="n">
        <f aca="false">N(G109)-N(F109)</f>
        <v>14</v>
      </c>
      <c r="I109" s="13"/>
    </row>
    <row r="110" customFormat="false" ht="15" hidden="false" customHeight="false" outlineLevel="0" collapsed="false">
      <c r="B110" s="12" t="s">
        <v>38</v>
      </c>
      <c r="C110" s="12" t="s">
        <v>380</v>
      </c>
      <c r="D110" s="17" t="s">
        <v>381</v>
      </c>
      <c r="E110" s="17"/>
      <c r="F110" s="13" t="n">
        <v>12</v>
      </c>
      <c r="G110" s="13" t="n">
        <v>0</v>
      </c>
      <c r="H110" s="18" t="n">
        <f aca="false">N(G110)-N(F110)</f>
        <v>-12</v>
      </c>
      <c r="I110" s="13"/>
    </row>
    <row r="111" customFormat="false" ht="15" hidden="false" customHeight="false" outlineLevel="0" collapsed="false">
      <c r="B111" s="12" t="s">
        <v>38</v>
      </c>
      <c r="C111" s="12" t="s">
        <v>277</v>
      </c>
      <c r="D111" s="17" t="s">
        <v>278</v>
      </c>
      <c r="E111" s="17" t="s">
        <v>68</v>
      </c>
      <c r="F111" s="13" t="n">
        <v>12</v>
      </c>
      <c r="G111" s="13" t="n">
        <v>14</v>
      </c>
      <c r="H111" s="18" t="n">
        <f aca="false">N(G111)-N(F111)</f>
        <v>2</v>
      </c>
      <c r="I111" s="13" t="n">
        <v>260</v>
      </c>
    </row>
    <row r="112" customFormat="false" ht="15" hidden="false" customHeight="false" outlineLevel="0" collapsed="false">
      <c r="B112" s="12" t="s">
        <v>38</v>
      </c>
      <c r="C112" s="12" t="s">
        <v>161</v>
      </c>
      <c r="D112" s="17" t="s">
        <v>162</v>
      </c>
      <c r="E112" s="17" t="s">
        <v>94</v>
      </c>
      <c r="F112" s="13" t="n">
        <v>0</v>
      </c>
      <c r="G112" s="13" t="n">
        <v>1125</v>
      </c>
      <c r="H112" s="18" t="n">
        <f aca="false">N(G112)-N(F112)</f>
        <v>1125</v>
      </c>
      <c r="I112" s="13" t="n">
        <v>691.4894</v>
      </c>
    </row>
    <row r="113" customFormat="false" ht="15" hidden="false" customHeight="false" outlineLevel="0" collapsed="false">
      <c r="B113" s="12" t="s">
        <v>38</v>
      </c>
      <c r="C113" s="12" t="s">
        <v>263</v>
      </c>
      <c r="D113" s="17" t="s">
        <v>264</v>
      </c>
      <c r="E113" s="17"/>
      <c r="F113" s="13" t="n">
        <v>0</v>
      </c>
      <c r="G113" s="13" t="n">
        <v>23</v>
      </c>
      <c r="H113" s="18" t="n">
        <f aca="false">N(G113)-N(F113)</f>
        <v>23</v>
      </c>
      <c r="I113" s="13"/>
    </row>
    <row r="114" customFormat="false" ht="15" hidden="false" customHeight="false" outlineLevel="0" collapsed="false">
      <c r="B114" s="12" t="s">
        <v>38</v>
      </c>
      <c r="C114" s="12" t="s">
        <v>226</v>
      </c>
      <c r="D114" s="17" t="s">
        <v>227</v>
      </c>
      <c r="E114" s="17" t="s">
        <v>68</v>
      </c>
      <c r="F114" s="13" t="n">
        <v>13</v>
      </c>
      <c r="G114" s="13" t="n">
        <v>12</v>
      </c>
      <c r="H114" s="18" t="n">
        <f aca="false">N(G114)-N(F114)</f>
        <v>-1</v>
      </c>
      <c r="I114" s="13" t="n">
        <v>12</v>
      </c>
    </row>
    <row r="115" customFormat="false" ht="15" hidden="false" customHeight="false" outlineLevel="0" collapsed="false">
      <c r="B115" s="12" t="s">
        <v>39</v>
      </c>
      <c r="C115" s="12" t="s">
        <v>66</v>
      </c>
      <c r="D115" s="17" t="s">
        <v>67</v>
      </c>
      <c r="E115" s="17" t="s">
        <v>68</v>
      </c>
      <c r="F115" s="13" t="n">
        <v>18</v>
      </c>
      <c r="G115" s="13" t="n">
        <v>16</v>
      </c>
      <c r="H115" s="18" t="n">
        <f aca="false">N(G115)-N(F115)</f>
        <v>-2</v>
      </c>
      <c r="I115" s="13" t="n">
        <v>200</v>
      </c>
    </row>
    <row r="116" customFormat="false" ht="15" hidden="false" customHeight="false" outlineLevel="0" collapsed="false">
      <c r="B116" s="12" t="s">
        <v>39</v>
      </c>
      <c r="C116" s="12" t="s">
        <v>187</v>
      </c>
      <c r="D116" s="17" t="s">
        <v>188</v>
      </c>
      <c r="E116" s="17" t="s">
        <v>68</v>
      </c>
      <c r="F116" s="13" t="n">
        <v>3</v>
      </c>
      <c r="G116" s="13" t="n">
        <v>3</v>
      </c>
      <c r="H116" s="18" t="n">
        <f aca="false">N(G116)-N(F116)</f>
        <v>0</v>
      </c>
      <c r="I116" s="13" t="n">
        <v>3</v>
      </c>
    </row>
    <row r="117" customFormat="false" ht="15" hidden="false" customHeight="false" outlineLevel="0" collapsed="false">
      <c r="B117" s="12" t="s">
        <v>39</v>
      </c>
      <c r="C117" s="12" t="s">
        <v>228</v>
      </c>
      <c r="D117" s="17" t="s">
        <v>229</v>
      </c>
      <c r="E117" s="17" t="s">
        <v>68</v>
      </c>
      <c r="F117" s="13" t="n">
        <v>2</v>
      </c>
      <c r="G117" s="13" t="n">
        <v>2</v>
      </c>
      <c r="H117" s="18" t="n">
        <f aca="false">N(G117)-N(F117)</f>
        <v>0</v>
      </c>
      <c r="I117" s="13" t="n">
        <v>2</v>
      </c>
    </row>
    <row r="118" customFormat="false" ht="15" hidden="false" customHeight="false" outlineLevel="0" collapsed="false">
      <c r="B118" s="12" t="s">
        <v>39</v>
      </c>
      <c r="C118" s="12" t="s">
        <v>268</v>
      </c>
      <c r="D118" s="17" t="s">
        <v>269</v>
      </c>
      <c r="E118" s="17"/>
      <c r="F118" s="13" t="n">
        <v>2</v>
      </c>
      <c r="G118" s="13" t="n">
        <v>1</v>
      </c>
      <c r="H118" s="18" t="n">
        <f aca="false">N(G118)-N(F118)</f>
        <v>-1</v>
      </c>
      <c r="I118" s="13"/>
    </row>
    <row r="119" customFormat="false" ht="15" hidden="false" customHeight="false" outlineLevel="0" collapsed="false">
      <c r="B119" s="12" t="s">
        <v>39</v>
      </c>
      <c r="C119" s="12" t="s">
        <v>271</v>
      </c>
      <c r="D119" s="17" t="s">
        <v>272</v>
      </c>
      <c r="E119" s="17"/>
      <c r="F119" s="13" t="n">
        <v>8</v>
      </c>
      <c r="G119" s="13" t="n">
        <v>6</v>
      </c>
      <c r="H119" s="18" t="n">
        <f aca="false">N(G119)-N(F119)</f>
        <v>-2</v>
      </c>
      <c r="I119" s="13"/>
    </row>
    <row r="120" customFormat="false" ht="15" hidden="false" customHeight="false" outlineLevel="0" collapsed="false">
      <c r="B120" s="12" t="s">
        <v>39</v>
      </c>
      <c r="C120" s="12" t="s">
        <v>282</v>
      </c>
      <c r="D120" s="17" t="s">
        <v>283</v>
      </c>
      <c r="E120" s="17"/>
      <c r="F120" s="13" t="n">
        <v>200</v>
      </c>
      <c r="G120" s="13" t="n">
        <v>7</v>
      </c>
      <c r="H120" s="18" t="n">
        <f aca="false">N(G120)-N(F120)</f>
        <v>-193</v>
      </c>
      <c r="I120" s="13"/>
    </row>
    <row r="121" customFormat="false" ht="15" hidden="false" customHeight="false" outlineLevel="0" collapsed="false">
      <c r="B121" s="12" t="s">
        <v>39</v>
      </c>
      <c r="C121" s="12" t="s">
        <v>129</v>
      </c>
      <c r="D121" s="17" t="s">
        <v>130</v>
      </c>
      <c r="E121" s="17" t="s">
        <v>68</v>
      </c>
      <c r="F121" s="13" t="n">
        <v>24</v>
      </c>
      <c r="G121" s="13" t="n">
        <v>24</v>
      </c>
      <c r="H121" s="18" t="n">
        <f aca="false">N(G121)-N(F121)</f>
        <v>0</v>
      </c>
      <c r="I121" s="13" t="n">
        <v>136</v>
      </c>
    </row>
    <row r="122" customFormat="false" ht="15" hidden="false" customHeight="false" outlineLevel="0" collapsed="false">
      <c r="B122" s="12" t="s">
        <v>39</v>
      </c>
      <c r="C122" s="12" t="s">
        <v>231</v>
      </c>
      <c r="D122" s="17" t="s">
        <v>232</v>
      </c>
      <c r="E122" s="17" t="s">
        <v>68</v>
      </c>
      <c r="F122" s="13" t="n">
        <v>1</v>
      </c>
      <c r="G122" s="13" t="n">
        <v>1</v>
      </c>
      <c r="H122" s="18" t="n">
        <f aca="false">N(G122)-N(F122)</f>
        <v>0</v>
      </c>
      <c r="I122" s="13" t="n">
        <v>1</v>
      </c>
    </row>
    <row r="123" customFormat="false" ht="15" hidden="false" customHeight="false" outlineLevel="0" collapsed="false">
      <c r="B123" s="12" t="s">
        <v>39</v>
      </c>
      <c r="C123" s="12" t="s">
        <v>490</v>
      </c>
      <c r="D123" s="17" t="s">
        <v>491</v>
      </c>
      <c r="E123" s="17"/>
      <c r="F123" s="13" t="n">
        <v>12</v>
      </c>
      <c r="G123" s="13" t="n">
        <v>1</v>
      </c>
      <c r="H123" s="18" t="n">
        <f aca="false">N(G123)-N(F123)</f>
        <v>-11</v>
      </c>
      <c r="I123" s="13"/>
    </row>
    <row r="124" customFormat="false" ht="15" hidden="false" customHeight="false" outlineLevel="0" collapsed="false">
      <c r="B124" s="12" t="s">
        <v>39</v>
      </c>
      <c r="C124" s="12" t="s">
        <v>234</v>
      </c>
      <c r="D124" s="17" t="s">
        <v>235</v>
      </c>
      <c r="E124" s="17" t="s">
        <v>68</v>
      </c>
      <c r="F124" s="13" t="n">
        <v>8</v>
      </c>
      <c r="G124" s="13" t="n">
        <v>8</v>
      </c>
      <c r="H124" s="18" t="n">
        <f aca="false">N(G124)-N(F124)</f>
        <v>0</v>
      </c>
      <c r="I124" s="13" t="n">
        <v>8</v>
      </c>
    </row>
    <row r="125" customFormat="false" ht="15" hidden="false" customHeight="false" outlineLevel="0" collapsed="false">
      <c r="B125" s="12" t="s">
        <v>39</v>
      </c>
      <c r="C125" s="12" t="s">
        <v>70</v>
      </c>
      <c r="D125" s="17" t="s">
        <v>71</v>
      </c>
      <c r="E125" s="17" t="s">
        <v>68</v>
      </c>
      <c r="F125" s="13" t="n">
        <v>180</v>
      </c>
      <c r="G125" s="13" t="n">
        <v>172</v>
      </c>
      <c r="H125" s="18" t="n">
        <f aca="false">N(G125)-N(F125)</f>
        <v>-8</v>
      </c>
      <c r="I125" s="13" t="n">
        <v>180</v>
      </c>
    </row>
    <row r="126" customFormat="false" ht="15" hidden="false" customHeight="false" outlineLevel="0" collapsed="false">
      <c r="B126" s="12" t="s">
        <v>39</v>
      </c>
      <c r="C126" s="12" t="s">
        <v>72</v>
      </c>
      <c r="D126" s="17" t="s">
        <v>73</v>
      </c>
      <c r="E126" s="17" t="s">
        <v>68</v>
      </c>
      <c r="F126" s="13" t="n">
        <v>72</v>
      </c>
      <c r="G126" s="13" t="n">
        <v>72</v>
      </c>
      <c r="H126" s="18" t="n">
        <f aca="false">N(G126)-N(F126)</f>
        <v>0</v>
      </c>
      <c r="I126" s="13" t="n">
        <v>500</v>
      </c>
    </row>
    <row r="127" customFormat="false" ht="15" hidden="false" customHeight="false" outlineLevel="0" collapsed="false">
      <c r="B127" s="12" t="s">
        <v>39</v>
      </c>
      <c r="C127" s="12" t="s">
        <v>413</v>
      </c>
      <c r="D127" s="17" t="s">
        <v>414</v>
      </c>
      <c r="E127" s="17" t="s">
        <v>68</v>
      </c>
      <c r="F127" s="13" t="n">
        <v>15</v>
      </c>
      <c r="G127" s="13" t="n">
        <v>0</v>
      </c>
      <c r="H127" s="18" t="n">
        <f aca="false">N(G127)-N(F127)</f>
        <v>-15</v>
      </c>
      <c r="I127" s="13" t="n">
        <v>15</v>
      </c>
    </row>
    <row r="128" customFormat="false" ht="15" hidden="false" customHeight="false" outlineLevel="0" collapsed="false">
      <c r="B128" s="12" t="s">
        <v>39</v>
      </c>
      <c r="C128" s="12" t="s">
        <v>74</v>
      </c>
      <c r="D128" s="17" t="s">
        <v>75</v>
      </c>
      <c r="E128" s="17" t="s">
        <v>68</v>
      </c>
      <c r="F128" s="13" t="n">
        <v>40</v>
      </c>
      <c r="G128" s="13" t="n">
        <v>36</v>
      </c>
      <c r="H128" s="18" t="n">
        <f aca="false">N(G128)-N(F128)</f>
        <v>-4</v>
      </c>
      <c r="I128" s="13" t="n">
        <v>40</v>
      </c>
    </row>
    <row r="129" customFormat="false" ht="15" hidden="false" customHeight="false" outlineLevel="0" collapsed="false">
      <c r="B129" s="12" t="s">
        <v>39</v>
      </c>
      <c r="C129" s="12" t="s">
        <v>164</v>
      </c>
      <c r="D129" s="17" t="s">
        <v>165</v>
      </c>
      <c r="E129" s="17" t="s">
        <v>94</v>
      </c>
      <c r="F129" s="13" t="n">
        <v>2</v>
      </c>
      <c r="G129" s="13" t="n">
        <v>7</v>
      </c>
      <c r="H129" s="18" t="n">
        <f aca="false">N(G129)-N(F129)</f>
        <v>5</v>
      </c>
      <c r="I129" s="13" t="n">
        <v>500</v>
      </c>
    </row>
    <row r="130" customFormat="false" ht="15" hidden="false" customHeight="false" outlineLevel="0" collapsed="false">
      <c r="B130" s="12" t="s">
        <v>39</v>
      </c>
      <c r="C130" s="12" t="s">
        <v>167</v>
      </c>
      <c r="D130" s="17" t="s">
        <v>168</v>
      </c>
      <c r="E130" s="17" t="s">
        <v>68</v>
      </c>
      <c r="F130" s="13" t="n">
        <v>15</v>
      </c>
      <c r="G130" s="13" t="n">
        <v>0</v>
      </c>
      <c r="H130" s="18" t="n">
        <f aca="false">N(G130)-N(F130)</f>
        <v>-15</v>
      </c>
      <c r="I130" s="13" t="n">
        <v>30</v>
      </c>
    </row>
    <row r="131" customFormat="false" ht="15" hidden="false" customHeight="false" outlineLevel="0" collapsed="false">
      <c r="B131" s="12" t="s">
        <v>39</v>
      </c>
      <c r="C131" s="12" t="s">
        <v>76</v>
      </c>
      <c r="D131" s="17" t="s">
        <v>77</v>
      </c>
      <c r="E131" s="17" t="s">
        <v>68</v>
      </c>
      <c r="F131" s="13" t="n">
        <v>110</v>
      </c>
      <c r="G131" s="13" t="n">
        <v>96</v>
      </c>
      <c r="H131" s="18" t="n">
        <f aca="false">N(G131)-N(F131)</f>
        <v>-14</v>
      </c>
      <c r="I131" s="13" t="n">
        <v>110</v>
      </c>
    </row>
    <row r="132" customFormat="false" ht="15" hidden="false" customHeight="false" outlineLevel="0" collapsed="false">
      <c r="B132" s="12" t="s">
        <v>39</v>
      </c>
      <c r="C132" s="12" t="s">
        <v>78</v>
      </c>
      <c r="D132" s="17" t="s">
        <v>79</v>
      </c>
      <c r="E132" s="17" t="s">
        <v>68</v>
      </c>
      <c r="F132" s="13" t="n">
        <v>185</v>
      </c>
      <c r="G132" s="13" t="n">
        <v>182</v>
      </c>
      <c r="H132" s="18" t="n">
        <f aca="false">N(G132)-N(F132)</f>
        <v>-3</v>
      </c>
      <c r="I132" s="13" t="n">
        <v>185</v>
      </c>
    </row>
    <row r="133" customFormat="false" ht="15" hidden="false" customHeight="false" outlineLevel="0" collapsed="false">
      <c r="B133" s="12" t="s">
        <v>39</v>
      </c>
      <c r="C133" s="12" t="s">
        <v>496</v>
      </c>
      <c r="D133" s="17" t="s">
        <v>497</v>
      </c>
      <c r="E133" s="17" t="s">
        <v>68</v>
      </c>
      <c r="F133" s="13" t="n">
        <v>0</v>
      </c>
      <c r="G133" s="13" t="n">
        <v>1</v>
      </c>
      <c r="H133" s="18" t="n">
        <f aca="false">N(G133)-N(F133)</f>
        <v>1</v>
      </c>
      <c r="I133" s="13" t="n">
        <v>1</v>
      </c>
    </row>
    <row r="134" customFormat="false" ht="15" hidden="false" customHeight="false" outlineLevel="0" collapsed="false">
      <c r="B134" s="12" t="s">
        <v>39</v>
      </c>
      <c r="C134" s="12" t="s">
        <v>288</v>
      </c>
      <c r="D134" s="17" t="s">
        <v>289</v>
      </c>
      <c r="E134" s="17" t="s">
        <v>68</v>
      </c>
      <c r="F134" s="13" t="n">
        <v>8</v>
      </c>
      <c r="G134" s="13" t="n">
        <v>0</v>
      </c>
      <c r="H134" s="18" t="n">
        <f aca="false">N(G134)-N(F134)</f>
        <v>-8</v>
      </c>
      <c r="I134" s="13" t="n">
        <v>50</v>
      </c>
    </row>
    <row r="135" customFormat="false" ht="15" hidden="false" customHeight="false" outlineLevel="0" collapsed="false">
      <c r="B135" s="12" t="s">
        <v>39</v>
      </c>
      <c r="C135" s="12" t="s">
        <v>389</v>
      </c>
      <c r="D135" s="17" t="s">
        <v>390</v>
      </c>
      <c r="E135" s="17" t="s">
        <v>68</v>
      </c>
      <c r="F135" s="13" t="n">
        <v>0</v>
      </c>
      <c r="G135" s="13" t="n">
        <v>1</v>
      </c>
      <c r="H135" s="18" t="n">
        <f aca="false">N(G135)-N(F135)</f>
        <v>1</v>
      </c>
      <c r="I135" s="13" t="n">
        <v>1</v>
      </c>
    </row>
    <row r="136" customFormat="false" ht="15" hidden="false" customHeight="false" outlineLevel="0" collapsed="false">
      <c r="B136" s="12" t="s">
        <v>39</v>
      </c>
      <c r="C136" s="12" t="s">
        <v>80</v>
      </c>
      <c r="D136" s="17" t="s">
        <v>81</v>
      </c>
      <c r="E136" s="17" t="s">
        <v>68</v>
      </c>
      <c r="F136" s="13" t="n">
        <v>160</v>
      </c>
      <c r="G136" s="13" t="n">
        <v>254</v>
      </c>
      <c r="H136" s="18" t="n">
        <f aca="false">N(G136)-N(F136)</f>
        <v>94</v>
      </c>
      <c r="I136" s="13" t="n">
        <v>160</v>
      </c>
    </row>
    <row r="137" customFormat="false" ht="15" hidden="false" customHeight="false" outlineLevel="0" collapsed="false">
      <c r="B137" s="12" t="s">
        <v>39</v>
      </c>
      <c r="C137" s="12" t="s">
        <v>82</v>
      </c>
      <c r="D137" s="17" t="s">
        <v>83</v>
      </c>
      <c r="E137" s="17" t="s">
        <v>68</v>
      </c>
      <c r="F137" s="13" t="n">
        <v>33</v>
      </c>
      <c r="G137" s="13" t="n">
        <v>36</v>
      </c>
      <c r="H137" s="18" t="n">
        <f aca="false">N(G137)-N(F137)</f>
        <v>3</v>
      </c>
      <c r="I137" s="13" t="n">
        <v>33</v>
      </c>
    </row>
    <row r="138" customFormat="false" ht="15" hidden="false" customHeight="false" outlineLevel="0" collapsed="false">
      <c r="B138" s="12" t="s">
        <v>39</v>
      </c>
      <c r="C138" s="12" t="s">
        <v>316</v>
      </c>
      <c r="D138" s="17" t="s">
        <v>317</v>
      </c>
      <c r="E138" s="17"/>
      <c r="F138" s="13" t="n">
        <v>0</v>
      </c>
      <c r="G138" s="13" t="n">
        <v>48</v>
      </c>
      <c r="H138" s="18" t="n">
        <f aca="false">N(G138)-N(F138)</f>
        <v>48</v>
      </c>
      <c r="I138" s="13"/>
    </row>
    <row r="139" customFormat="false" ht="15" hidden="false" customHeight="false" outlineLevel="0" collapsed="false">
      <c r="B139" s="12" t="s">
        <v>39</v>
      </c>
      <c r="C139" s="12" t="s">
        <v>190</v>
      </c>
      <c r="D139" s="17" t="s">
        <v>191</v>
      </c>
      <c r="E139" s="17" t="s">
        <v>68</v>
      </c>
      <c r="F139" s="13" t="n">
        <v>20</v>
      </c>
      <c r="G139" s="13" t="n">
        <v>8</v>
      </c>
      <c r="H139" s="18" t="n">
        <f aca="false">N(G139)-N(F139)</f>
        <v>-12</v>
      </c>
      <c r="I139" s="13" t="n">
        <v>20</v>
      </c>
    </row>
    <row r="140" customFormat="false" ht="15" hidden="false" customHeight="false" outlineLevel="0" collapsed="false">
      <c r="B140" s="12" t="s">
        <v>39</v>
      </c>
      <c r="C140" s="12" t="s">
        <v>291</v>
      </c>
      <c r="D140" s="17" t="s">
        <v>292</v>
      </c>
      <c r="E140" s="17"/>
      <c r="F140" s="13" t="n">
        <v>0</v>
      </c>
      <c r="G140" s="13" t="n">
        <v>120</v>
      </c>
      <c r="H140" s="18" t="n">
        <f aca="false">N(G140)-N(F140)</f>
        <v>120</v>
      </c>
      <c r="I140" s="13"/>
    </row>
    <row r="141" customFormat="false" ht="15" hidden="false" customHeight="false" outlineLevel="0" collapsed="false">
      <c r="B141" s="12" t="s">
        <v>39</v>
      </c>
      <c r="C141" s="12" t="s">
        <v>237</v>
      </c>
      <c r="D141" s="17" t="s">
        <v>238</v>
      </c>
      <c r="E141" s="17" t="s">
        <v>68</v>
      </c>
      <c r="F141" s="13" t="n">
        <v>4</v>
      </c>
      <c r="G141" s="13" t="n">
        <v>9</v>
      </c>
      <c r="H141" s="18" t="n">
        <f aca="false">N(G141)-N(F141)</f>
        <v>5</v>
      </c>
      <c r="I141" s="13" t="n">
        <v>4</v>
      </c>
    </row>
    <row r="142" customFormat="false" ht="15" hidden="false" customHeight="false" outlineLevel="0" collapsed="false">
      <c r="B142" s="12" t="s">
        <v>39</v>
      </c>
      <c r="C142" s="12" t="s">
        <v>84</v>
      </c>
      <c r="D142" s="17" t="s">
        <v>85</v>
      </c>
      <c r="E142" s="17" t="s">
        <v>68</v>
      </c>
      <c r="F142" s="13" t="n">
        <v>10</v>
      </c>
      <c r="G142" s="13" t="n">
        <v>6</v>
      </c>
      <c r="H142" s="18" t="n">
        <f aca="false">N(G142)-N(F142)</f>
        <v>-4</v>
      </c>
      <c r="I142" s="13" t="n">
        <v>10</v>
      </c>
    </row>
    <row r="143" customFormat="false" ht="15" hidden="false" customHeight="false" outlineLevel="0" collapsed="false">
      <c r="B143" s="12" t="s">
        <v>39</v>
      </c>
      <c r="C143" s="12" t="s">
        <v>193</v>
      </c>
      <c r="D143" s="17" t="s">
        <v>194</v>
      </c>
      <c r="E143" s="17" t="s">
        <v>68</v>
      </c>
      <c r="F143" s="13" t="n">
        <v>6</v>
      </c>
      <c r="G143" s="13" t="n">
        <v>5</v>
      </c>
      <c r="H143" s="18" t="n">
        <f aca="false">N(G143)-N(F143)</f>
        <v>-1</v>
      </c>
      <c r="I143" s="13" t="n">
        <v>6</v>
      </c>
    </row>
    <row r="144" customFormat="false" ht="15" hidden="false" customHeight="false" outlineLevel="0" collapsed="false">
      <c r="B144" s="12" t="s">
        <v>39</v>
      </c>
      <c r="C144" s="12" t="s">
        <v>86</v>
      </c>
      <c r="D144" s="17" t="s">
        <v>87</v>
      </c>
      <c r="E144" s="17" t="s">
        <v>68</v>
      </c>
      <c r="F144" s="13" t="n">
        <v>150</v>
      </c>
      <c r="G144" s="13" t="n">
        <v>104</v>
      </c>
      <c r="H144" s="18" t="n">
        <f aca="false">N(G144)-N(F144)</f>
        <v>-46</v>
      </c>
      <c r="I144" s="13" t="n">
        <v>150</v>
      </c>
    </row>
    <row r="145" customFormat="false" ht="15" hidden="false" customHeight="false" outlineLevel="0" collapsed="false">
      <c r="B145" s="12" t="s">
        <v>39</v>
      </c>
      <c r="C145" s="12" t="s">
        <v>392</v>
      </c>
      <c r="D145" s="17" t="s">
        <v>393</v>
      </c>
      <c r="E145" s="17"/>
      <c r="F145" s="13" t="n">
        <v>0</v>
      </c>
      <c r="G145" s="13" t="n">
        <v>1</v>
      </c>
      <c r="H145" s="18" t="n">
        <f aca="false">N(G145)-N(F145)</f>
        <v>1</v>
      </c>
      <c r="I145" s="13"/>
    </row>
    <row r="146" customFormat="false" ht="15" hidden="false" customHeight="false" outlineLevel="0" collapsed="false">
      <c r="B146" s="12" t="s">
        <v>39</v>
      </c>
      <c r="C146" s="12" t="s">
        <v>505</v>
      </c>
      <c r="D146" s="17" t="s">
        <v>506</v>
      </c>
      <c r="E146" s="17"/>
      <c r="F146" s="13" t="n">
        <v>0</v>
      </c>
      <c r="G146" s="13" t="n">
        <v>1</v>
      </c>
      <c r="H146" s="18" t="n">
        <f aca="false">N(G146)-N(F146)</f>
        <v>1</v>
      </c>
      <c r="I146" s="13"/>
    </row>
    <row r="147" customFormat="false" ht="15" hidden="false" customHeight="false" outlineLevel="0" collapsed="false">
      <c r="B147" s="12" t="s">
        <v>39</v>
      </c>
      <c r="C147" s="12" t="s">
        <v>132</v>
      </c>
      <c r="D147" s="17" t="s">
        <v>133</v>
      </c>
      <c r="E147" s="17" t="s">
        <v>68</v>
      </c>
      <c r="F147" s="13" t="n">
        <v>24</v>
      </c>
      <c r="G147" s="13" t="n">
        <v>23</v>
      </c>
      <c r="H147" s="18" t="n">
        <f aca="false">N(G147)-N(F147)</f>
        <v>-1</v>
      </c>
      <c r="I147" s="13" t="n">
        <v>50</v>
      </c>
    </row>
    <row r="148" customFormat="false" ht="15" hidden="false" customHeight="false" outlineLevel="0" collapsed="false">
      <c r="B148" s="12" t="s">
        <v>39</v>
      </c>
      <c r="C148" s="12" t="s">
        <v>196</v>
      </c>
      <c r="D148" s="17" t="s">
        <v>197</v>
      </c>
      <c r="E148" s="17" t="s">
        <v>68</v>
      </c>
      <c r="F148" s="13" t="n">
        <v>6</v>
      </c>
      <c r="G148" s="13" t="n">
        <v>5</v>
      </c>
      <c r="H148" s="18" t="n">
        <f aca="false">N(G148)-N(F148)</f>
        <v>-1</v>
      </c>
      <c r="I148" s="13" t="n">
        <v>6</v>
      </c>
    </row>
    <row r="149" customFormat="false" ht="15" hidden="false" customHeight="false" outlineLevel="0" collapsed="false">
      <c r="B149" s="12" t="s">
        <v>39</v>
      </c>
      <c r="C149" s="12" t="s">
        <v>419</v>
      </c>
      <c r="D149" s="17" t="s">
        <v>420</v>
      </c>
      <c r="E149" s="17"/>
      <c r="F149" s="13" t="n">
        <v>0</v>
      </c>
      <c r="G149" s="13" t="n">
        <v>2</v>
      </c>
      <c r="H149" s="18" t="n">
        <f aca="false">N(G149)-N(F149)</f>
        <v>2</v>
      </c>
      <c r="I149" s="13"/>
    </row>
    <row r="150" customFormat="false" ht="15" hidden="false" customHeight="false" outlineLevel="0" collapsed="false">
      <c r="B150" s="12" t="s">
        <v>39</v>
      </c>
      <c r="C150" s="12" t="s">
        <v>110</v>
      </c>
      <c r="D150" s="17" t="s">
        <v>111</v>
      </c>
      <c r="E150" s="17" t="s">
        <v>68</v>
      </c>
      <c r="F150" s="13" t="n">
        <v>200</v>
      </c>
      <c r="G150" s="13" t="n">
        <v>115</v>
      </c>
      <c r="H150" s="18" t="n">
        <f aca="false">N(G150)-N(F150)</f>
        <v>-85</v>
      </c>
      <c r="I150" s="13" t="n">
        <v>200</v>
      </c>
    </row>
    <row r="151" customFormat="false" ht="15" hidden="false" customHeight="false" outlineLevel="0" collapsed="false">
      <c r="B151" s="12" t="s">
        <v>39</v>
      </c>
      <c r="C151" s="12" t="s">
        <v>422</v>
      </c>
      <c r="D151" s="17" t="s">
        <v>423</v>
      </c>
      <c r="E151" s="17"/>
      <c r="F151" s="13" t="n">
        <v>0</v>
      </c>
      <c r="G151" s="13" t="n">
        <v>2</v>
      </c>
      <c r="H151" s="18" t="n">
        <f aca="false">N(G151)-N(F151)</f>
        <v>2</v>
      </c>
      <c r="I151" s="13"/>
    </row>
    <row r="152" customFormat="false" ht="15" hidden="false" customHeight="false" outlineLevel="0" collapsed="false">
      <c r="B152" s="12" t="s">
        <v>39</v>
      </c>
      <c r="C152" s="12" t="s">
        <v>135</v>
      </c>
      <c r="D152" s="17" t="s">
        <v>136</v>
      </c>
      <c r="E152" s="17" t="s">
        <v>94</v>
      </c>
      <c r="F152" s="13" t="n">
        <v>5200</v>
      </c>
      <c r="G152" s="13" t="n">
        <v>4458</v>
      </c>
      <c r="H152" s="18" t="n">
        <f aca="false">N(G152)-N(F152)</f>
        <v>-742</v>
      </c>
      <c r="I152" s="13" t="n">
        <v>5430.2162</v>
      </c>
    </row>
    <row r="153" customFormat="false" ht="15" hidden="false" customHeight="false" outlineLevel="0" collapsed="false">
      <c r="B153" s="12" t="s">
        <v>39</v>
      </c>
      <c r="C153" s="12" t="s">
        <v>575</v>
      </c>
      <c r="D153" s="17" t="s">
        <v>576</v>
      </c>
      <c r="E153" s="17"/>
      <c r="F153" s="13" t="n">
        <v>0</v>
      </c>
      <c r="G153" s="13" t="n">
        <v>2</v>
      </c>
      <c r="H153" s="18" t="n">
        <f aca="false">N(G153)-N(F153)</f>
        <v>2</v>
      </c>
      <c r="I153" s="13"/>
    </row>
    <row r="154" customFormat="false" ht="15" hidden="false" customHeight="false" outlineLevel="0" collapsed="false">
      <c r="B154" s="12" t="s">
        <v>39</v>
      </c>
      <c r="C154" s="12" t="s">
        <v>319</v>
      </c>
      <c r="D154" s="17" t="s">
        <v>320</v>
      </c>
      <c r="E154" s="17" t="s">
        <v>68</v>
      </c>
      <c r="F154" s="13" t="n">
        <v>0</v>
      </c>
      <c r="G154" s="13" t="n">
        <v>6</v>
      </c>
      <c r="H154" s="18" t="n">
        <f aca="false">N(G154)-N(F154)</f>
        <v>6</v>
      </c>
      <c r="I154" s="13" t="n">
        <v>3</v>
      </c>
    </row>
    <row r="155" customFormat="false" ht="15" hidden="false" customHeight="false" outlineLevel="0" collapsed="false">
      <c r="B155" s="12" t="s">
        <v>39</v>
      </c>
      <c r="C155" s="12" t="s">
        <v>395</v>
      </c>
      <c r="D155" s="17" t="s">
        <v>396</v>
      </c>
      <c r="E155" s="17" t="s">
        <v>68</v>
      </c>
      <c r="F155" s="13" t="n">
        <v>0</v>
      </c>
      <c r="G155" s="13" t="n">
        <v>2</v>
      </c>
      <c r="H155" s="18" t="n">
        <f aca="false">N(G155)-N(F155)</f>
        <v>2</v>
      </c>
      <c r="I155" s="13" t="n">
        <v>2</v>
      </c>
    </row>
    <row r="156" customFormat="false" ht="15" hidden="false" customHeight="false" outlineLevel="0" collapsed="false">
      <c r="B156" s="12" t="s">
        <v>39</v>
      </c>
      <c r="C156" s="12" t="s">
        <v>297</v>
      </c>
      <c r="D156" s="17" t="s">
        <v>298</v>
      </c>
      <c r="E156" s="17"/>
      <c r="F156" s="13" t="n">
        <v>0</v>
      </c>
      <c r="G156" s="13" t="n">
        <v>1</v>
      </c>
      <c r="H156" s="18" t="n">
        <f aca="false">N(G156)-N(F156)</f>
        <v>1</v>
      </c>
      <c r="I156" s="13"/>
    </row>
    <row r="157" customFormat="false" ht="15" hidden="false" customHeight="false" outlineLevel="0" collapsed="false">
      <c r="B157" s="12" t="s">
        <v>39</v>
      </c>
      <c r="C157" s="12" t="s">
        <v>510</v>
      </c>
      <c r="D157" s="17" t="s">
        <v>511</v>
      </c>
      <c r="E157" s="17" t="s">
        <v>68</v>
      </c>
      <c r="F157" s="13" t="n">
        <v>6</v>
      </c>
      <c r="G157" s="13" t="n">
        <v>0</v>
      </c>
      <c r="H157" s="18" t="n">
        <f aca="false">N(G157)-N(F157)</f>
        <v>-6</v>
      </c>
      <c r="I157" s="13" t="n">
        <v>6</v>
      </c>
    </row>
    <row r="158" customFormat="false" ht="15" hidden="false" customHeight="false" outlineLevel="0" collapsed="false">
      <c r="B158" s="12" t="s">
        <v>39</v>
      </c>
      <c r="C158" s="12" t="s">
        <v>170</v>
      </c>
      <c r="D158" s="17" t="s">
        <v>171</v>
      </c>
      <c r="E158" s="17" t="s">
        <v>68</v>
      </c>
      <c r="F158" s="13" t="n">
        <v>20</v>
      </c>
      <c r="G158" s="13" t="n">
        <v>3</v>
      </c>
      <c r="H158" s="18" t="n">
        <f aca="false">N(G158)-N(F158)</f>
        <v>-17</v>
      </c>
      <c r="I158" s="13" t="n">
        <v>450</v>
      </c>
    </row>
    <row r="159" customFormat="false" ht="15" hidden="false" customHeight="false" outlineLevel="0" collapsed="false">
      <c r="B159" s="12" t="s">
        <v>39</v>
      </c>
      <c r="C159" s="12" t="s">
        <v>198</v>
      </c>
      <c r="D159" s="17" t="s">
        <v>199</v>
      </c>
      <c r="E159" s="17"/>
      <c r="F159" s="13" t="n">
        <v>0</v>
      </c>
      <c r="G159" s="13" t="n">
        <v>15</v>
      </c>
      <c r="H159" s="18" t="n">
        <f aca="false">N(G159)-N(F159)</f>
        <v>15</v>
      </c>
      <c r="I159" s="13"/>
    </row>
    <row r="160" customFormat="false" ht="15" hidden="false" customHeight="false" outlineLevel="0" collapsed="false">
      <c r="B160" s="12" t="s">
        <v>39</v>
      </c>
      <c r="C160" s="12" t="s">
        <v>88</v>
      </c>
      <c r="D160" s="17" t="s">
        <v>89</v>
      </c>
      <c r="E160" s="17" t="s">
        <v>68</v>
      </c>
      <c r="F160" s="13" t="n">
        <v>100</v>
      </c>
      <c r="G160" s="13" t="n">
        <v>92</v>
      </c>
      <c r="H160" s="18" t="n">
        <f aca="false">N(G160)-N(F160)</f>
        <v>-8</v>
      </c>
      <c r="I160" s="13" t="n">
        <v>100</v>
      </c>
    </row>
    <row r="161" customFormat="false" ht="15" hidden="false" customHeight="false" outlineLevel="0" collapsed="false">
      <c r="B161" s="12" t="s">
        <v>39</v>
      </c>
      <c r="C161" s="12" t="s">
        <v>581</v>
      </c>
      <c r="D161" s="17" t="s">
        <v>582</v>
      </c>
      <c r="E161" s="17"/>
      <c r="F161" s="13" t="n">
        <v>0</v>
      </c>
      <c r="G161" s="13" t="n">
        <v>1</v>
      </c>
      <c r="H161" s="18" t="n">
        <f aca="false">N(G161)-N(F161)</f>
        <v>1</v>
      </c>
      <c r="I161" s="13"/>
    </row>
    <row r="162" customFormat="false" ht="15" hidden="false" customHeight="false" outlineLevel="0" collapsed="false">
      <c r="B162" s="12" t="s">
        <v>39</v>
      </c>
      <c r="C162" s="12" t="s">
        <v>90</v>
      </c>
      <c r="D162" s="17" t="s">
        <v>91</v>
      </c>
      <c r="E162" s="17" t="s">
        <v>68</v>
      </c>
      <c r="F162" s="13" t="n">
        <v>18</v>
      </c>
      <c r="G162" s="13" t="n">
        <v>18</v>
      </c>
      <c r="H162" s="18" t="n">
        <f aca="false">N(G162)-N(F162)</f>
        <v>0</v>
      </c>
      <c r="I162" s="13" t="n">
        <v>18</v>
      </c>
    </row>
    <row r="163" customFormat="false" ht="15" hidden="false" customHeight="false" outlineLevel="0" collapsed="false">
      <c r="B163" s="12" t="s">
        <v>39</v>
      </c>
      <c r="C163" s="12" t="s">
        <v>425</v>
      </c>
      <c r="D163" s="17" t="s">
        <v>426</v>
      </c>
      <c r="E163" s="17"/>
      <c r="F163" s="13" t="n">
        <v>0</v>
      </c>
      <c r="G163" s="13" t="n">
        <v>5</v>
      </c>
      <c r="H163" s="18" t="n">
        <f aca="false">N(G163)-N(F163)</f>
        <v>5</v>
      </c>
      <c r="I163" s="13"/>
    </row>
    <row r="164" customFormat="false" ht="15" hidden="false" customHeight="false" outlineLevel="0" collapsed="false">
      <c r="B164" s="12" t="s">
        <v>39</v>
      </c>
      <c r="C164" s="12" t="s">
        <v>322</v>
      </c>
      <c r="D164" s="17" t="s">
        <v>323</v>
      </c>
      <c r="E164" s="17"/>
      <c r="F164" s="13" t="n">
        <v>0</v>
      </c>
      <c r="G164" s="13" t="n">
        <v>5</v>
      </c>
      <c r="H164" s="18" t="n">
        <f aca="false">N(G164)-N(F164)</f>
        <v>5</v>
      </c>
      <c r="I164" s="13"/>
    </row>
    <row r="165" customFormat="false" ht="15" hidden="false" customHeight="false" outlineLevel="0" collapsed="false">
      <c r="B165" s="12" t="s">
        <v>39</v>
      </c>
      <c r="C165" s="12" t="s">
        <v>92</v>
      </c>
      <c r="D165" s="17" t="s">
        <v>93</v>
      </c>
      <c r="E165" s="17"/>
      <c r="F165" s="13" t="n">
        <v>0</v>
      </c>
      <c r="G165" s="13" t="n">
        <v>970</v>
      </c>
      <c r="H165" s="18" t="n">
        <f aca="false">N(G165)-N(F165)</f>
        <v>970</v>
      </c>
      <c r="I165" s="13"/>
    </row>
    <row r="166" customFormat="false" ht="15" hidden="false" customHeight="false" outlineLevel="0" collapsed="false">
      <c r="B166" s="12" t="s">
        <v>39</v>
      </c>
      <c r="C166" s="12" t="s">
        <v>300</v>
      </c>
      <c r="D166" s="17" t="s">
        <v>301</v>
      </c>
      <c r="E166" s="17"/>
      <c r="F166" s="13" t="n">
        <v>0</v>
      </c>
      <c r="G166" s="13" t="n">
        <v>14</v>
      </c>
      <c r="H166" s="18" t="n">
        <f aca="false">N(G166)-N(F166)</f>
        <v>14</v>
      </c>
      <c r="I166" s="13"/>
    </row>
    <row r="167" customFormat="false" ht="15" hidden="false" customHeight="false" outlineLevel="0" collapsed="false">
      <c r="B167" s="12" t="s">
        <v>39</v>
      </c>
      <c r="C167" s="12" t="s">
        <v>240</v>
      </c>
      <c r="D167" s="17" t="s">
        <v>241</v>
      </c>
      <c r="E167" s="17" t="s">
        <v>94</v>
      </c>
      <c r="F167" s="13" t="n">
        <v>1600</v>
      </c>
      <c r="G167" s="13" t="n">
        <v>160</v>
      </c>
      <c r="H167" s="18" t="n">
        <f aca="false">N(G167)-N(F167)</f>
        <v>-1440</v>
      </c>
      <c r="I167" s="13" t="n">
        <v>2247.9039</v>
      </c>
    </row>
    <row r="168" customFormat="false" ht="15" hidden="false" customHeight="false" outlineLevel="0" collapsed="false">
      <c r="B168" s="12" t="s">
        <v>39</v>
      </c>
      <c r="C168" s="12" t="s">
        <v>587</v>
      </c>
      <c r="D168" s="17" t="s">
        <v>588</v>
      </c>
      <c r="E168" s="17"/>
      <c r="F168" s="13" t="n">
        <v>0</v>
      </c>
      <c r="G168" s="13" t="n">
        <v>3</v>
      </c>
      <c r="H168" s="18" t="n">
        <f aca="false">N(G168)-N(F168)</f>
        <v>3</v>
      </c>
      <c r="I168" s="13"/>
    </row>
    <row r="169" customFormat="false" ht="15" hidden="false" customHeight="false" outlineLevel="0" collapsed="false">
      <c r="B169" s="12" t="s">
        <v>39</v>
      </c>
      <c r="C169" s="12" t="s">
        <v>325</v>
      </c>
      <c r="D169" s="17" t="s">
        <v>326</v>
      </c>
      <c r="E169" s="17" t="s">
        <v>68</v>
      </c>
      <c r="F169" s="13" t="n">
        <v>14</v>
      </c>
      <c r="G169" s="13" t="n">
        <v>13</v>
      </c>
      <c r="H169" s="18" t="n">
        <f aca="false">N(G169)-N(F169)</f>
        <v>-1</v>
      </c>
      <c r="I169" s="13" t="n">
        <v>45</v>
      </c>
    </row>
    <row r="170" customFormat="false" ht="15" hidden="false" customHeight="false" outlineLevel="0" collapsed="false">
      <c r="B170" s="12" t="s">
        <v>39</v>
      </c>
      <c r="C170" s="12" t="s">
        <v>95</v>
      </c>
      <c r="D170" s="17" t="s">
        <v>96</v>
      </c>
      <c r="E170" s="17"/>
      <c r="F170" s="13" t="n">
        <v>10</v>
      </c>
      <c r="G170" s="13" t="n">
        <v>4</v>
      </c>
      <c r="H170" s="18" t="n">
        <f aca="false">N(G170)-N(F170)</f>
        <v>-6</v>
      </c>
      <c r="I170" s="13"/>
    </row>
    <row r="171" customFormat="false" ht="15" hidden="false" customHeight="false" outlineLevel="0" collapsed="false">
      <c r="B171" s="12" t="s">
        <v>39</v>
      </c>
      <c r="C171" s="12" t="s">
        <v>97</v>
      </c>
      <c r="D171" s="17" t="s">
        <v>98</v>
      </c>
      <c r="E171" s="17" t="s">
        <v>68</v>
      </c>
      <c r="F171" s="13" t="n">
        <v>110</v>
      </c>
      <c r="G171" s="13" t="n">
        <v>120</v>
      </c>
      <c r="H171" s="18" t="n">
        <f aca="false">N(G171)-N(F171)</f>
        <v>10</v>
      </c>
      <c r="I171" s="13" t="n">
        <v>110</v>
      </c>
    </row>
    <row r="172" customFormat="false" ht="15" hidden="false" customHeight="false" outlineLevel="0" collapsed="false">
      <c r="B172" s="12" t="s">
        <v>39</v>
      </c>
      <c r="C172" s="12" t="s">
        <v>398</v>
      </c>
      <c r="D172" s="17" t="s">
        <v>399</v>
      </c>
      <c r="E172" s="17"/>
      <c r="F172" s="13" t="n">
        <v>0</v>
      </c>
      <c r="G172" s="13" t="n">
        <v>36</v>
      </c>
      <c r="H172" s="18" t="n">
        <f aca="false">N(G172)-N(F172)</f>
        <v>36</v>
      </c>
      <c r="I172" s="13"/>
    </row>
    <row r="173" customFormat="false" ht="15" hidden="false" customHeight="false" outlineLevel="0" collapsed="false">
      <c r="B173" s="12" t="s">
        <v>39</v>
      </c>
      <c r="C173" s="12" t="s">
        <v>327</v>
      </c>
      <c r="D173" s="17" t="s">
        <v>328</v>
      </c>
      <c r="E173" s="17" t="s">
        <v>68</v>
      </c>
      <c r="F173" s="13" t="n">
        <v>3</v>
      </c>
      <c r="G173" s="13" t="n">
        <v>3</v>
      </c>
      <c r="H173" s="18" t="n">
        <f aca="false">N(G173)-N(F173)</f>
        <v>0</v>
      </c>
      <c r="I173" s="13" t="n">
        <v>3</v>
      </c>
    </row>
    <row r="174" customFormat="false" ht="15" hidden="false" customHeight="false" outlineLevel="0" collapsed="false">
      <c r="B174" s="12" t="s">
        <v>39</v>
      </c>
      <c r="C174" s="12" t="s">
        <v>515</v>
      </c>
      <c r="D174" s="17" t="s">
        <v>516</v>
      </c>
      <c r="E174" s="17"/>
      <c r="F174" s="13" t="n">
        <v>0</v>
      </c>
      <c r="G174" s="13" t="n">
        <v>4</v>
      </c>
      <c r="H174" s="18" t="n">
        <f aca="false">N(G174)-N(F174)</f>
        <v>4</v>
      </c>
      <c r="I174" s="13"/>
    </row>
    <row r="175" customFormat="false" ht="15" hidden="false" customHeight="false" outlineLevel="0" collapsed="false">
      <c r="B175" s="12" t="s">
        <v>39</v>
      </c>
      <c r="C175" s="12" t="s">
        <v>201</v>
      </c>
      <c r="D175" s="17" t="s">
        <v>202</v>
      </c>
      <c r="E175" s="17" t="s">
        <v>68</v>
      </c>
      <c r="F175" s="13" t="n">
        <v>12</v>
      </c>
      <c r="G175" s="13" t="n">
        <v>11</v>
      </c>
      <c r="H175" s="18" t="n">
        <f aca="false">N(G175)-N(F175)</f>
        <v>-1</v>
      </c>
      <c r="I175" s="13" t="n">
        <v>12</v>
      </c>
    </row>
    <row r="176" customFormat="false" ht="15" hidden="false" customHeight="false" outlineLevel="0" collapsed="false">
      <c r="B176" s="12" t="s">
        <v>39</v>
      </c>
      <c r="C176" s="12" t="s">
        <v>138</v>
      </c>
      <c r="D176" s="17" t="s">
        <v>139</v>
      </c>
      <c r="E176" s="17" t="s">
        <v>68</v>
      </c>
      <c r="F176" s="13" t="n">
        <v>6</v>
      </c>
      <c r="G176" s="13" t="n">
        <v>5</v>
      </c>
      <c r="H176" s="18" t="n">
        <f aca="false">N(G176)-N(F176)</f>
        <v>-1</v>
      </c>
      <c r="I176" s="13" t="n">
        <v>20</v>
      </c>
    </row>
    <row r="177" customFormat="false" ht="15" hidden="false" customHeight="false" outlineLevel="0" collapsed="false">
      <c r="B177" s="12" t="s">
        <v>39</v>
      </c>
      <c r="C177" s="12" t="s">
        <v>427</v>
      </c>
      <c r="D177" s="17" t="s">
        <v>428</v>
      </c>
      <c r="E177" s="17"/>
      <c r="F177" s="13" t="n">
        <v>0</v>
      </c>
      <c r="G177" s="13" t="n">
        <v>3</v>
      </c>
      <c r="H177" s="18" t="n">
        <f aca="false">N(G177)-N(F177)</f>
        <v>3</v>
      </c>
      <c r="I177" s="13"/>
    </row>
    <row r="178" customFormat="false" ht="15" hidden="false" customHeight="false" outlineLevel="0" collapsed="false">
      <c r="B178" s="12" t="s">
        <v>39</v>
      </c>
      <c r="C178" s="12" t="s">
        <v>592</v>
      </c>
      <c r="D178" s="17" t="s">
        <v>588</v>
      </c>
      <c r="E178" s="17"/>
      <c r="F178" s="13" t="n">
        <v>0</v>
      </c>
      <c r="G178" s="13" t="n">
        <v>3</v>
      </c>
      <c r="H178" s="18" t="n">
        <f aca="false">N(G178)-N(F178)</f>
        <v>3</v>
      </c>
      <c r="I178" s="13"/>
    </row>
    <row r="179" customFormat="false" ht="15" hidden="false" customHeight="false" outlineLevel="0" collapsed="false">
      <c r="B179" s="12" t="s">
        <v>39</v>
      </c>
      <c r="C179" s="12" t="s">
        <v>302</v>
      </c>
      <c r="D179" s="17" t="s">
        <v>133</v>
      </c>
      <c r="E179" s="17" t="s">
        <v>68</v>
      </c>
      <c r="F179" s="13" t="n">
        <v>36</v>
      </c>
      <c r="G179" s="13" t="n">
        <v>36</v>
      </c>
      <c r="H179" s="18" t="n">
        <f aca="false">N(G179)-N(F179)</f>
        <v>0</v>
      </c>
      <c r="I179" s="13" t="n">
        <v>220</v>
      </c>
    </row>
    <row r="180" customFormat="false" ht="15" hidden="false" customHeight="false" outlineLevel="0" collapsed="false">
      <c r="B180" s="12" t="s">
        <v>39</v>
      </c>
      <c r="C180" s="12" t="s">
        <v>460</v>
      </c>
      <c r="D180" s="17" t="s">
        <v>461</v>
      </c>
      <c r="E180" s="17" t="s">
        <v>68</v>
      </c>
      <c r="F180" s="13" t="n">
        <v>0</v>
      </c>
      <c r="G180" s="13" t="n">
        <v>3</v>
      </c>
      <c r="H180" s="18" t="n">
        <f aca="false">N(G180)-N(F180)</f>
        <v>3</v>
      </c>
      <c r="I180" s="13" t="n">
        <v>3</v>
      </c>
    </row>
    <row r="181" customFormat="false" ht="15" hidden="false" customHeight="false" outlineLevel="0" collapsed="false">
      <c r="B181" s="12" t="s">
        <v>39</v>
      </c>
      <c r="C181" s="12" t="s">
        <v>242</v>
      </c>
      <c r="D181" s="17" t="s">
        <v>243</v>
      </c>
      <c r="E181" s="17"/>
      <c r="F181" s="13" t="n">
        <v>0</v>
      </c>
      <c r="G181" s="13" t="n">
        <v>5</v>
      </c>
      <c r="H181" s="18" t="n">
        <f aca="false">N(G181)-N(F181)</f>
        <v>5</v>
      </c>
      <c r="I181" s="13"/>
    </row>
    <row r="182" customFormat="false" ht="15" hidden="false" customHeight="false" outlineLevel="0" collapsed="false">
      <c r="B182" s="12" t="s">
        <v>39</v>
      </c>
      <c r="C182" s="12" t="s">
        <v>113</v>
      </c>
      <c r="D182" s="17" t="s">
        <v>114</v>
      </c>
      <c r="E182" s="17" t="s">
        <v>68</v>
      </c>
      <c r="F182" s="13" t="n">
        <v>60</v>
      </c>
      <c r="G182" s="13" t="n">
        <v>56</v>
      </c>
      <c r="H182" s="18" t="n">
        <f aca="false">N(G182)-N(F182)</f>
        <v>-4</v>
      </c>
      <c r="I182" s="13" t="n">
        <v>60</v>
      </c>
    </row>
    <row r="183" customFormat="false" ht="15" hidden="false" customHeight="false" outlineLevel="0" collapsed="false">
      <c r="B183" s="12" t="s">
        <v>39</v>
      </c>
      <c r="C183" s="12" t="s">
        <v>520</v>
      </c>
      <c r="D183" s="17" t="s">
        <v>521</v>
      </c>
      <c r="E183" s="17"/>
      <c r="F183" s="13" t="n">
        <v>0</v>
      </c>
      <c r="G183" s="13" t="n">
        <v>2</v>
      </c>
      <c r="H183" s="18" t="n">
        <f aca="false">N(G183)-N(F183)</f>
        <v>2</v>
      </c>
      <c r="I183" s="13"/>
    </row>
    <row r="184" customFormat="false" ht="15" hidden="false" customHeight="false" outlineLevel="0" collapsed="false">
      <c r="B184" s="12" t="s">
        <v>39</v>
      </c>
      <c r="C184" s="12" t="s">
        <v>329</v>
      </c>
      <c r="D184" s="17" t="s">
        <v>330</v>
      </c>
      <c r="E184" s="17"/>
      <c r="F184" s="13" t="n">
        <v>0</v>
      </c>
      <c r="G184" s="13" t="n">
        <v>3</v>
      </c>
      <c r="H184" s="18" t="n">
        <f aca="false">N(G184)-N(F184)</f>
        <v>3</v>
      </c>
      <c r="I184" s="13"/>
    </row>
    <row r="185" customFormat="false" ht="15" hidden="false" customHeight="false" outlineLevel="0" collapsed="false">
      <c r="B185" s="12" t="s">
        <v>39</v>
      </c>
      <c r="C185" s="12" t="s">
        <v>432</v>
      </c>
      <c r="D185" s="17" t="s">
        <v>433</v>
      </c>
      <c r="E185" s="17"/>
      <c r="F185" s="13" t="n">
        <v>0</v>
      </c>
      <c r="G185" s="13" t="n">
        <v>1</v>
      </c>
      <c r="H185" s="18" t="n">
        <f aca="false">N(G185)-N(F185)</f>
        <v>1</v>
      </c>
      <c r="I185" s="13"/>
    </row>
    <row r="186" customFormat="false" ht="15" hidden="false" customHeight="false" outlineLevel="0" collapsed="false">
      <c r="B186" s="12" t="s">
        <v>39</v>
      </c>
      <c r="C186" s="12" t="s">
        <v>522</v>
      </c>
      <c r="D186" s="17" t="s">
        <v>523</v>
      </c>
      <c r="E186" s="17"/>
      <c r="F186" s="13" t="n">
        <v>0</v>
      </c>
      <c r="G186" s="13" t="n">
        <v>22</v>
      </c>
      <c r="H186" s="18" t="n">
        <f aca="false">N(G186)-N(F186)</f>
        <v>22</v>
      </c>
      <c r="I186" s="13"/>
    </row>
    <row r="187" customFormat="false" ht="15" hidden="false" customHeight="false" outlineLevel="0" collapsed="false">
      <c r="B187" s="12" t="s">
        <v>39</v>
      </c>
      <c r="C187" s="12" t="s">
        <v>304</v>
      </c>
      <c r="D187" s="17" t="s">
        <v>305</v>
      </c>
      <c r="E187" s="17" t="s">
        <v>68</v>
      </c>
      <c r="F187" s="13" t="n">
        <v>6</v>
      </c>
      <c r="G187" s="13" t="n">
        <v>3</v>
      </c>
      <c r="H187" s="18" t="n">
        <f aca="false">N(G187)-N(F187)</f>
        <v>-3</v>
      </c>
      <c r="I187" s="13" t="n">
        <v>6</v>
      </c>
    </row>
    <row r="188" customFormat="false" ht="15" hidden="false" customHeight="false" outlineLevel="0" collapsed="false">
      <c r="B188" s="12" t="s">
        <v>39</v>
      </c>
      <c r="C188" s="12" t="s">
        <v>115</v>
      </c>
      <c r="D188" s="17" t="s">
        <v>116</v>
      </c>
      <c r="E188" s="17" t="s">
        <v>68</v>
      </c>
      <c r="F188" s="13" t="n">
        <v>18</v>
      </c>
      <c r="G188" s="13" t="n">
        <v>0</v>
      </c>
      <c r="H188" s="18" t="n">
        <f aca="false">N(G188)-N(F188)</f>
        <v>-18</v>
      </c>
      <c r="I188" s="13" t="n">
        <v>18</v>
      </c>
    </row>
    <row r="189" customFormat="false" ht="15" hidden="false" customHeight="false" outlineLevel="0" collapsed="false">
      <c r="B189" s="12" t="s">
        <v>39</v>
      </c>
      <c r="C189" s="12" t="s">
        <v>332</v>
      </c>
      <c r="D189" s="17" t="s">
        <v>333</v>
      </c>
      <c r="E189" s="17"/>
      <c r="F189" s="13" t="n">
        <v>0</v>
      </c>
      <c r="G189" s="13" t="n">
        <v>3</v>
      </c>
      <c r="H189" s="18" t="n">
        <f aca="false">N(G189)-N(F189)</f>
        <v>3</v>
      </c>
      <c r="I189" s="13"/>
    </row>
    <row r="190" customFormat="false" ht="15" hidden="false" customHeight="false" outlineLevel="0" collapsed="false">
      <c r="B190" s="12" t="s">
        <v>39</v>
      </c>
      <c r="C190" s="12" t="s">
        <v>369</v>
      </c>
      <c r="D190" s="17" t="s">
        <v>370</v>
      </c>
      <c r="E190" s="17"/>
      <c r="F190" s="13" t="n">
        <v>0</v>
      </c>
      <c r="G190" s="13" t="n">
        <v>2</v>
      </c>
      <c r="H190" s="18" t="n">
        <f aca="false">N(G190)-N(F190)</f>
        <v>2</v>
      </c>
      <c r="I190" s="13"/>
    </row>
    <row r="191" customFormat="false" ht="15" hidden="false" customHeight="false" outlineLevel="0" collapsed="false">
      <c r="B191" s="12" t="s">
        <v>39</v>
      </c>
      <c r="C191" s="12" t="s">
        <v>118</v>
      </c>
      <c r="D191" s="17" t="s">
        <v>119</v>
      </c>
      <c r="E191" s="17" t="s">
        <v>68</v>
      </c>
      <c r="F191" s="13" t="n">
        <v>21</v>
      </c>
      <c r="G191" s="13" t="n">
        <v>24</v>
      </c>
      <c r="H191" s="18" t="n">
        <f aca="false">N(G191)-N(F191)</f>
        <v>3</v>
      </c>
      <c r="I191" s="13" t="n">
        <v>21</v>
      </c>
    </row>
    <row r="192" customFormat="false" ht="15" hidden="false" customHeight="false" outlineLevel="0" collapsed="false">
      <c r="B192" s="12" t="s">
        <v>39</v>
      </c>
      <c r="C192" s="12" t="s">
        <v>334</v>
      </c>
      <c r="D192" s="17" t="s">
        <v>335</v>
      </c>
      <c r="E192" s="17"/>
      <c r="F192" s="13" t="n">
        <v>0</v>
      </c>
      <c r="G192" s="13" t="n">
        <v>6</v>
      </c>
      <c r="H192" s="18" t="n">
        <f aca="false">N(G192)-N(F192)</f>
        <v>6</v>
      </c>
      <c r="I192" s="13"/>
    </row>
    <row r="193" customFormat="false" ht="15" hidden="false" customHeight="false" outlineLevel="0" collapsed="false">
      <c r="B193" s="12" t="s">
        <v>39</v>
      </c>
      <c r="C193" s="12" t="s">
        <v>204</v>
      </c>
      <c r="D193" s="17" t="s">
        <v>205</v>
      </c>
      <c r="E193" s="17" t="s">
        <v>68</v>
      </c>
      <c r="F193" s="13" t="n">
        <v>6</v>
      </c>
      <c r="G193" s="13" t="n">
        <v>8</v>
      </c>
      <c r="H193" s="18" t="n">
        <f aca="false">N(G193)-N(F193)</f>
        <v>2</v>
      </c>
      <c r="I193" s="13" t="n">
        <v>6</v>
      </c>
    </row>
    <row r="194" customFormat="false" ht="15" hidden="false" customHeight="false" outlineLevel="0" collapsed="false">
      <c r="B194" s="12" t="s">
        <v>39</v>
      </c>
      <c r="C194" s="12" t="s">
        <v>99</v>
      </c>
      <c r="D194" s="17" t="s">
        <v>100</v>
      </c>
      <c r="E194" s="17" t="s">
        <v>68</v>
      </c>
      <c r="F194" s="13" t="n">
        <v>85</v>
      </c>
      <c r="G194" s="13" t="n">
        <v>89</v>
      </c>
      <c r="H194" s="18" t="n">
        <f aca="false">N(G194)-N(F194)</f>
        <v>4</v>
      </c>
      <c r="I194" s="13" t="n">
        <v>85</v>
      </c>
    </row>
    <row r="195" customFormat="false" ht="15" hidden="false" customHeight="false" outlineLevel="0" collapsed="false">
      <c r="B195" s="12" t="s">
        <v>39</v>
      </c>
      <c r="C195" s="12" t="s">
        <v>173</v>
      </c>
      <c r="D195" s="17" t="s">
        <v>174</v>
      </c>
      <c r="E195" s="17" t="s">
        <v>68</v>
      </c>
      <c r="F195" s="13" t="n">
        <v>10</v>
      </c>
      <c r="G195" s="13" t="n">
        <v>12</v>
      </c>
      <c r="H195" s="18" t="n">
        <f aca="false">N(G195)-N(F195)</f>
        <v>2</v>
      </c>
      <c r="I195" s="13" t="n">
        <v>10</v>
      </c>
    </row>
    <row r="196" customFormat="false" ht="15" hidden="false" customHeight="false" outlineLevel="0" collapsed="false">
      <c r="B196" s="12" t="s">
        <v>39</v>
      </c>
      <c r="C196" s="12" t="s">
        <v>336</v>
      </c>
      <c r="D196" s="17" t="s">
        <v>337</v>
      </c>
      <c r="E196" s="17"/>
      <c r="F196" s="13" t="n">
        <v>0</v>
      </c>
      <c r="G196" s="13" t="n">
        <v>22</v>
      </c>
      <c r="H196" s="18" t="n">
        <f aca="false">N(G196)-N(F196)</f>
        <v>22</v>
      </c>
      <c r="I196" s="13"/>
    </row>
    <row r="197" customFormat="false" ht="15" hidden="false" customHeight="false" outlineLevel="0" collapsed="false">
      <c r="B197" s="12" t="s">
        <v>39</v>
      </c>
      <c r="C197" s="12" t="s">
        <v>338</v>
      </c>
      <c r="D197" s="17" t="s">
        <v>339</v>
      </c>
      <c r="E197" s="17" t="s">
        <v>68</v>
      </c>
      <c r="F197" s="13" t="n">
        <v>5</v>
      </c>
      <c r="G197" s="13" t="n">
        <v>5</v>
      </c>
      <c r="H197" s="18" t="n">
        <f aca="false">N(G197)-N(F197)</f>
        <v>0</v>
      </c>
      <c r="I197" s="13" t="n">
        <v>5</v>
      </c>
    </row>
    <row r="198" customFormat="false" ht="15" hidden="false" customHeight="false" outlineLevel="0" collapsed="false">
      <c r="B198" s="12" t="s">
        <v>39</v>
      </c>
      <c r="C198" s="12" t="s">
        <v>101</v>
      </c>
      <c r="D198" s="17" t="s">
        <v>102</v>
      </c>
      <c r="E198" s="17" t="s">
        <v>68</v>
      </c>
      <c r="F198" s="13" t="n">
        <v>50</v>
      </c>
      <c r="G198" s="13" t="n">
        <v>46</v>
      </c>
      <c r="H198" s="18" t="n">
        <f aca="false">N(G198)-N(F198)</f>
        <v>-4</v>
      </c>
      <c r="I198" s="13" t="n">
        <v>50</v>
      </c>
    </row>
    <row r="199" customFormat="false" ht="15" hidden="false" customHeight="false" outlineLevel="0" collapsed="false">
      <c r="B199" s="12" t="s">
        <v>39</v>
      </c>
      <c r="C199" s="12" t="s">
        <v>463</v>
      </c>
      <c r="D199" s="17" t="s">
        <v>464</v>
      </c>
      <c r="E199" s="17"/>
      <c r="F199" s="13" t="n">
        <v>0</v>
      </c>
      <c r="G199" s="13" t="n">
        <v>2</v>
      </c>
      <c r="H199" s="18" t="n">
        <f aca="false">N(G199)-N(F199)</f>
        <v>2</v>
      </c>
      <c r="I199" s="13"/>
    </row>
    <row r="200" customFormat="false" ht="15" hidden="false" customHeight="false" outlineLevel="0" collapsed="false">
      <c r="B200" s="12" t="s">
        <v>39</v>
      </c>
      <c r="C200" s="12" t="s">
        <v>121</v>
      </c>
      <c r="D200" s="17" t="s">
        <v>122</v>
      </c>
      <c r="E200" s="17" t="s">
        <v>68</v>
      </c>
      <c r="F200" s="13" t="n">
        <v>50</v>
      </c>
      <c r="G200" s="13" t="n">
        <v>58</v>
      </c>
      <c r="H200" s="18" t="n">
        <f aca="false">N(G200)-N(F200)</f>
        <v>8</v>
      </c>
      <c r="I200" s="13" t="n">
        <v>50</v>
      </c>
    </row>
    <row r="201" customFormat="false" ht="15" hidden="false" customHeight="false" outlineLevel="0" collapsed="false">
      <c r="B201" s="12" t="s">
        <v>39</v>
      </c>
      <c r="C201" s="12" t="s">
        <v>524</v>
      </c>
      <c r="D201" s="17" t="s">
        <v>525</v>
      </c>
      <c r="E201" s="17" t="s">
        <v>68</v>
      </c>
      <c r="F201" s="13" t="n">
        <v>5</v>
      </c>
      <c r="G201" s="13" t="n">
        <v>0</v>
      </c>
      <c r="H201" s="18" t="n">
        <f aca="false">N(G201)-N(F201)</f>
        <v>-5</v>
      </c>
      <c r="I201" s="13" t="n">
        <v>5</v>
      </c>
    </row>
    <row r="202" customFormat="false" ht="15" hidden="false" customHeight="false" outlineLevel="0" collapsed="false">
      <c r="B202" s="12" t="s">
        <v>39</v>
      </c>
      <c r="C202" s="12" t="s">
        <v>245</v>
      </c>
      <c r="D202" s="17" t="s">
        <v>246</v>
      </c>
      <c r="E202" s="17"/>
      <c r="F202" s="13" t="n">
        <v>0</v>
      </c>
      <c r="G202" s="13" t="n">
        <v>7</v>
      </c>
      <c r="H202" s="18" t="n">
        <f aca="false">N(G202)-N(F202)</f>
        <v>7</v>
      </c>
      <c r="I202" s="13"/>
    </row>
    <row r="203" customFormat="false" ht="15" hidden="false" customHeight="false" outlineLevel="0" collapsed="false">
      <c r="B203" s="12" t="s">
        <v>39</v>
      </c>
      <c r="C203" s="12" t="s">
        <v>141</v>
      </c>
      <c r="D203" s="17" t="s">
        <v>142</v>
      </c>
      <c r="E203" s="17"/>
      <c r="F203" s="13" t="n">
        <v>0</v>
      </c>
      <c r="G203" s="13" t="n">
        <v>8</v>
      </c>
      <c r="H203" s="18" t="n">
        <f aca="false">N(G203)-N(F203)</f>
        <v>8</v>
      </c>
      <c r="I203" s="13"/>
    </row>
    <row r="204" customFormat="false" ht="15" hidden="false" customHeight="false" outlineLevel="0" collapsed="false">
      <c r="B204" s="12" t="s">
        <v>39</v>
      </c>
      <c r="C204" s="12" t="s">
        <v>207</v>
      </c>
      <c r="D204" s="17" t="s">
        <v>208</v>
      </c>
      <c r="E204" s="17" t="s">
        <v>68</v>
      </c>
      <c r="F204" s="13" t="n">
        <v>20</v>
      </c>
      <c r="G204" s="13" t="n">
        <v>16</v>
      </c>
      <c r="H204" s="18" t="n">
        <f aca="false">N(G204)-N(F204)</f>
        <v>-4</v>
      </c>
      <c r="I204" s="13" t="n">
        <v>20</v>
      </c>
    </row>
    <row r="205" customFormat="false" ht="15" hidden="false" customHeight="false" outlineLevel="0" collapsed="false">
      <c r="B205" s="12" t="s">
        <v>39</v>
      </c>
      <c r="C205" s="12" t="s">
        <v>248</v>
      </c>
      <c r="D205" s="17" t="s">
        <v>133</v>
      </c>
      <c r="E205" s="17"/>
      <c r="F205" s="13" t="n">
        <v>0</v>
      </c>
      <c r="G205" s="13" t="n">
        <v>2</v>
      </c>
      <c r="H205" s="18" t="n">
        <f aca="false">N(G205)-N(F205)</f>
        <v>2</v>
      </c>
      <c r="I205" s="13"/>
    </row>
    <row r="206" customFormat="false" ht="15" hidden="false" customHeight="false" outlineLevel="0" collapsed="false">
      <c r="B206" s="12" t="s">
        <v>39</v>
      </c>
      <c r="C206" s="12" t="s">
        <v>529</v>
      </c>
      <c r="D206" s="17" t="s">
        <v>530</v>
      </c>
      <c r="E206" s="17"/>
      <c r="F206" s="13" t="n">
        <v>0</v>
      </c>
      <c r="G206" s="13" t="n">
        <v>3</v>
      </c>
      <c r="H206" s="18" t="n">
        <f aca="false">N(G206)-N(F206)</f>
        <v>3</v>
      </c>
      <c r="I206" s="13"/>
    </row>
    <row r="207" customFormat="false" ht="15" hidden="false" customHeight="false" outlineLevel="0" collapsed="false">
      <c r="B207" s="12" t="s">
        <v>39</v>
      </c>
      <c r="C207" s="12" t="s">
        <v>210</v>
      </c>
      <c r="D207" s="17" t="s">
        <v>211</v>
      </c>
      <c r="E207" s="17" t="s">
        <v>68</v>
      </c>
      <c r="F207" s="13" t="n">
        <v>4</v>
      </c>
      <c r="G207" s="13" t="n">
        <v>2</v>
      </c>
      <c r="H207" s="18" t="n">
        <f aca="false">N(G207)-N(F207)</f>
        <v>-2</v>
      </c>
      <c r="I207" s="13" t="n">
        <v>4</v>
      </c>
    </row>
    <row r="208" customFormat="false" ht="15" hidden="false" customHeight="false" outlineLevel="0" collapsed="false">
      <c r="B208" s="12" t="s">
        <v>39</v>
      </c>
      <c r="C208" s="12" t="s">
        <v>176</v>
      </c>
      <c r="D208" s="17" t="s">
        <v>177</v>
      </c>
      <c r="E208" s="17" t="s">
        <v>68</v>
      </c>
      <c r="F208" s="13" t="n">
        <v>24</v>
      </c>
      <c r="G208" s="13" t="n">
        <v>24</v>
      </c>
      <c r="H208" s="18" t="n">
        <f aca="false">N(G208)-N(F208)</f>
        <v>0</v>
      </c>
      <c r="I208" s="13" t="n">
        <v>24</v>
      </c>
    </row>
    <row r="209" customFormat="false" ht="15" hidden="false" customHeight="false" outlineLevel="0" collapsed="false">
      <c r="B209" s="12" t="s">
        <v>39</v>
      </c>
      <c r="C209" s="12" t="s">
        <v>466</v>
      </c>
      <c r="D209" s="17" t="s">
        <v>467</v>
      </c>
      <c r="E209" s="17"/>
      <c r="F209" s="13" t="n">
        <v>0</v>
      </c>
      <c r="G209" s="13" t="n">
        <v>2</v>
      </c>
      <c r="H209" s="18" t="n">
        <f aca="false">N(G209)-N(F209)</f>
        <v>2</v>
      </c>
      <c r="I209" s="13"/>
    </row>
    <row r="210" customFormat="false" ht="15" hidden="false" customHeight="false" outlineLevel="0" collapsed="false">
      <c r="B210" s="12" t="s">
        <v>39</v>
      </c>
      <c r="C210" s="12" t="s">
        <v>212</v>
      </c>
      <c r="D210" s="17" t="s">
        <v>213</v>
      </c>
      <c r="E210" s="17"/>
      <c r="F210" s="13" t="n">
        <v>8</v>
      </c>
      <c r="G210" s="13" t="n">
        <v>7</v>
      </c>
      <c r="H210" s="18" t="n">
        <f aca="false">N(G210)-N(F210)</f>
        <v>-1</v>
      </c>
      <c r="I210" s="13"/>
    </row>
    <row r="211" customFormat="false" ht="15" hidden="false" customHeight="false" outlineLevel="0" collapsed="false">
      <c r="B211" s="12" t="s">
        <v>39</v>
      </c>
      <c r="C211" s="12" t="s">
        <v>340</v>
      </c>
      <c r="D211" s="17" t="s">
        <v>341</v>
      </c>
      <c r="E211" s="17" t="s">
        <v>68</v>
      </c>
      <c r="F211" s="13" t="n">
        <v>4</v>
      </c>
      <c r="G211" s="13" t="n">
        <v>5</v>
      </c>
      <c r="H211" s="18" t="n">
        <f aca="false">N(G211)-N(F211)</f>
        <v>1</v>
      </c>
      <c r="I211" s="13" t="n">
        <v>120</v>
      </c>
    </row>
    <row r="212" customFormat="false" ht="15" hidden="false" customHeight="false" outlineLevel="0" collapsed="false">
      <c r="B212" s="12" t="s">
        <v>39</v>
      </c>
      <c r="C212" s="12" t="s">
        <v>608</v>
      </c>
      <c r="D212" s="17" t="s">
        <v>609</v>
      </c>
      <c r="E212" s="17"/>
      <c r="F212" s="13" t="n">
        <v>0</v>
      </c>
      <c r="G212" s="13" t="n">
        <v>1</v>
      </c>
      <c r="H212" s="18" t="n">
        <f aca="false">N(G212)-N(F212)</f>
        <v>1</v>
      </c>
      <c r="I212" s="13"/>
    </row>
    <row r="213" customFormat="false" ht="15" hidden="false" customHeight="false" outlineLevel="0" collapsed="false">
      <c r="B213" s="12" t="s">
        <v>39</v>
      </c>
      <c r="C213" s="12" t="s">
        <v>103</v>
      </c>
      <c r="D213" s="17" t="s">
        <v>104</v>
      </c>
      <c r="E213" s="17" t="s">
        <v>68</v>
      </c>
      <c r="F213" s="13" t="n">
        <v>150</v>
      </c>
      <c r="G213" s="13" t="n">
        <v>163</v>
      </c>
      <c r="H213" s="18" t="n">
        <f aca="false">N(G213)-N(F213)</f>
        <v>13</v>
      </c>
      <c r="I213" s="13" t="n">
        <v>150</v>
      </c>
    </row>
    <row r="214" customFormat="false" ht="15" hidden="false" customHeight="false" outlineLevel="0" collapsed="false">
      <c r="B214" s="12" t="s">
        <v>39</v>
      </c>
      <c r="C214" s="12" t="s">
        <v>215</v>
      </c>
      <c r="D214" s="17" t="s">
        <v>216</v>
      </c>
      <c r="E214" s="17" t="s">
        <v>68</v>
      </c>
      <c r="F214" s="13" t="n">
        <v>0</v>
      </c>
      <c r="G214" s="13" t="n">
        <v>6</v>
      </c>
      <c r="H214" s="18" t="n">
        <f aca="false">N(G214)-N(F214)</f>
        <v>6</v>
      </c>
      <c r="I214" s="13" t="n">
        <v>6</v>
      </c>
    </row>
    <row r="215" customFormat="false" ht="15" hidden="false" customHeight="false" outlineLevel="0" collapsed="false">
      <c r="B215" s="12" t="s">
        <v>39</v>
      </c>
      <c r="C215" s="12" t="s">
        <v>179</v>
      </c>
      <c r="D215" s="17" t="s">
        <v>180</v>
      </c>
      <c r="E215" s="17"/>
      <c r="F215" s="13" t="n">
        <v>0</v>
      </c>
      <c r="G215" s="13" t="n">
        <v>1</v>
      </c>
      <c r="H215" s="18" t="n">
        <f aca="false">N(G215)-N(F215)</f>
        <v>1</v>
      </c>
      <c r="I215" s="13"/>
    </row>
    <row r="216" customFormat="false" ht="15" hidden="false" customHeight="false" outlineLevel="0" collapsed="false">
      <c r="B216" s="12" t="s">
        <v>39</v>
      </c>
      <c r="C216" s="12" t="s">
        <v>342</v>
      </c>
      <c r="D216" s="17" t="s">
        <v>343</v>
      </c>
      <c r="E216" s="17" t="s">
        <v>68</v>
      </c>
      <c r="F216" s="13" t="n">
        <v>10</v>
      </c>
      <c r="G216" s="13" t="n">
        <v>6</v>
      </c>
      <c r="H216" s="18" t="n">
        <f aca="false">N(G216)-N(F216)</f>
        <v>-4</v>
      </c>
      <c r="I216" s="13" t="n">
        <v>10</v>
      </c>
    </row>
    <row r="217" customFormat="false" ht="15" hidden="false" customHeight="false" outlineLevel="0" collapsed="false">
      <c r="B217" s="12" t="s">
        <v>39</v>
      </c>
      <c r="C217" s="12" t="s">
        <v>612</v>
      </c>
      <c r="D217" s="17" t="s">
        <v>588</v>
      </c>
      <c r="E217" s="17"/>
      <c r="F217" s="13" t="n">
        <v>0</v>
      </c>
      <c r="G217" s="13" t="n">
        <v>3</v>
      </c>
      <c r="H217" s="18" t="n">
        <f aca="false">N(G217)-N(F217)</f>
        <v>3</v>
      </c>
      <c r="I217" s="13"/>
    </row>
    <row r="218" customFormat="false" ht="15" hidden="false" customHeight="false" outlineLevel="0" collapsed="false">
      <c r="B218" s="12" t="s">
        <v>39</v>
      </c>
      <c r="C218" s="12" t="s">
        <v>143</v>
      </c>
      <c r="D218" s="17" t="s">
        <v>144</v>
      </c>
      <c r="E218" s="17" t="s">
        <v>68</v>
      </c>
      <c r="F218" s="13" t="n">
        <v>4</v>
      </c>
      <c r="G218" s="13" t="n">
        <v>4</v>
      </c>
      <c r="H218" s="18" t="n">
        <f aca="false">N(G218)-N(F218)</f>
        <v>0</v>
      </c>
      <c r="I218" s="13" t="n">
        <v>4</v>
      </c>
    </row>
    <row r="219" customFormat="false" ht="15" hidden="false" customHeight="false" outlineLevel="0" collapsed="false">
      <c r="B219" s="12" t="s">
        <v>39</v>
      </c>
      <c r="C219" s="12" t="s">
        <v>146</v>
      </c>
      <c r="D219" s="17" t="s">
        <v>147</v>
      </c>
      <c r="E219" s="17" t="s">
        <v>68</v>
      </c>
      <c r="F219" s="13" t="n">
        <v>12</v>
      </c>
      <c r="G219" s="13" t="n">
        <v>12</v>
      </c>
      <c r="H219" s="18" t="n">
        <f aca="false">N(G219)-N(F219)</f>
        <v>0</v>
      </c>
      <c r="I219" s="13" t="n">
        <v>12</v>
      </c>
    </row>
    <row r="220" customFormat="false" ht="15" hidden="false" customHeight="false" outlineLevel="0" collapsed="false">
      <c r="B220" s="12" t="s">
        <v>39</v>
      </c>
      <c r="C220" s="12" t="s">
        <v>182</v>
      </c>
      <c r="D220" s="17" t="s">
        <v>183</v>
      </c>
      <c r="E220" s="17" t="s">
        <v>68</v>
      </c>
      <c r="F220" s="13" t="n">
        <v>11</v>
      </c>
      <c r="G220" s="13" t="n">
        <v>10</v>
      </c>
      <c r="H220" s="18" t="n">
        <f aca="false">N(G220)-N(F220)</f>
        <v>-1</v>
      </c>
      <c r="I220" s="13" t="n">
        <v>11</v>
      </c>
    </row>
    <row r="221" customFormat="false" ht="15" hidden="false" customHeight="false" outlineLevel="0" collapsed="false">
      <c r="B221" s="12" t="s">
        <v>39</v>
      </c>
      <c r="C221" s="12" t="s">
        <v>250</v>
      </c>
      <c r="D221" s="17" t="s">
        <v>251</v>
      </c>
      <c r="E221" s="17" t="s">
        <v>68</v>
      </c>
      <c r="F221" s="13" t="n">
        <v>42</v>
      </c>
      <c r="G221" s="13" t="n">
        <v>47</v>
      </c>
      <c r="H221" s="18" t="n">
        <f aca="false">N(G221)-N(F221)</f>
        <v>5</v>
      </c>
      <c r="I221" s="13" t="n">
        <v>180</v>
      </c>
    </row>
    <row r="222" customFormat="false" ht="15" hidden="false" customHeight="false" outlineLevel="0" collapsed="false">
      <c r="B222" s="12" t="s">
        <v>39</v>
      </c>
      <c r="C222" s="12" t="s">
        <v>148</v>
      </c>
      <c r="D222" s="17" t="s">
        <v>149</v>
      </c>
      <c r="E222" s="17" t="s">
        <v>68</v>
      </c>
      <c r="F222" s="13" t="n">
        <v>50</v>
      </c>
      <c r="G222" s="13" t="n">
        <v>77</v>
      </c>
      <c r="H222" s="18" t="n">
        <f aca="false">N(G222)-N(F222)</f>
        <v>27</v>
      </c>
      <c r="I222" s="13" t="n">
        <v>50</v>
      </c>
    </row>
    <row r="223" customFormat="false" ht="15" hidden="false" customHeight="false" outlineLevel="0" collapsed="false">
      <c r="B223" s="12" t="s">
        <v>39</v>
      </c>
      <c r="C223" s="12" t="s">
        <v>345</v>
      </c>
      <c r="D223" s="17" t="s">
        <v>346</v>
      </c>
      <c r="E223" s="17"/>
      <c r="F223" s="13" t="n">
        <v>0</v>
      </c>
      <c r="G223" s="13" t="n">
        <v>12</v>
      </c>
      <c r="H223" s="18" t="n">
        <f aca="false">N(G223)-N(F223)</f>
        <v>12</v>
      </c>
      <c r="I223" s="13"/>
    </row>
    <row r="224" customFormat="false" ht="15" hidden="false" customHeight="false" outlineLevel="0" collapsed="false">
      <c r="B224" s="12" t="s">
        <v>39</v>
      </c>
      <c r="C224" s="12" t="s">
        <v>347</v>
      </c>
      <c r="D224" s="17" t="s">
        <v>348</v>
      </c>
      <c r="E224" s="17"/>
      <c r="F224" s="13" t="n">
        <v>0</v>
      </c>
      <c r="G224" s="13" t="n">
        <v>36</v>
      </c>
      <c r="H224" s="18" t="n">
        <f aca="false">N(G224)-N(F224)</f>
        <v>36</v>
      </c>
      <c r="I224" s="13"/>
    </row>
    <row r="225" customFormat="false" ht="15" hidden="false" customHeight="false" outlineLevel="0" collapsed="false">
      <c r="B225" s="12" t="s">
        <v>39</v>
      </c>
      <c r="C225" s="12" t="s">
        <v>350</v>
      </c>
      <c r="D225" s="17" t="s">
        <v>351</v>
      </c>
      <c r="E225" s="17" t="s">
        <v>68</v>
      </c>
      <c r="F225" s="13" t="n">
        <v>6</v>
      </c>
      <c r="G225" s="13" t="n">
        <v>0</v>
      </c>
      <c r="H225" s="18" t="n">
        <f aca="false">N(G225)-N(F225)</f>
        <v>-6</v>
      </c>
      <c r="I225" s="13" t="n">
        <v>6</v>
      </c>
    </row>
    <row r="226" customFormat="false" ht="15" hidden="false" customHeight="false" outlineLevel="0" collapsed="false">
      <c r="B226" s="12" t="s">
        <v>39</v>
      </c>
      <c r="C226" s="12" t="s">
        <v>123</v>
      </c>
      <c r="D226" s="17" t="s">
        <v>124</v>
      </c>
      <c r="E226" s="17"/>
      <c r="F226" s="13" t="n">
        <v>175</v>
      </c>
      <c r="G226" s="13" t="n">
        <v>503</v>
      </c>
      <c r="H226" s="18" t="n">
        <f aca="false">N(G226)-N(F226)</f>
        <v>328</v>
      </c>
      <c r="I226" s="13"/>
    </row>
    <row r="227" customFormat="false" ht="15" hidden="false" customHeight="false" outlineLevel="0" collapsed="false">
      <c r="B227" s="12" t="s">
        <v>39</v>
      </c>
      <c r="C227" s="12" t="s">
        <v>352</v>
      </c>
      <c r="D227" s="17" t="s">
        <v>353</v>
      </c>
      <c r="E227" s="17"/>
      <c r="F227" s="13" t="n">
        <v>0</v>
      </c>
      <c r="G227" s="13" t="n">
        <v>12</v>
      </c>
      <c r="H227" s="18" t="n">
        <f aca="false">N(G227)-N(F227)</f>
        <v>12</v>
      </c>
      <c r="I227" s="13"/>
    </row>
    <row r="228" customFormat="false" ht="15" hidden="false" customHeight="false" outlineLevel="0" collapsed="false">
      <c r="B228" s="12" t="s">
        <v>39</v>
      </c>
      <c r="C228" s="12" t="s">
        <v>105</v>
      </c>
      <c r="D228" s="17" t="s">
        <v>106</v>
      </c>
      <c r="E228" s="17" t="s">
        <v>68</v>
      </c>
      <c r="F228" s="13" t="n">
        <v>33</v>
      </c>
      <c r="G228" s="13" t="n">
        <v>36</v>
      </c>
      <c r="H228" s="18" t="n">
        <f aca="false">N(G228)-N(F228)</f>
        <v>3</v>
      </c>
      <c r="I228" s="13" t="n">
        <v>33</v>
      </c>
    </row>
    <row r="229" customFormat="false" ht="15" hidden="false" customHeight="false" outlineLevel="0" collapsed="false">
      <c r="B229" s="12" t="s">
        <v>39</v>
      </c>
      <c r="C229" s="12" t="s">
        <v>107</v>
      </c>
      <c r="D229" s="17" t="s">
        <v>108</v>
      </c>
      <c r="E229" s="17"/>
      <c r="F229" s="13" t="n">
        <v>0</v>
      </c>
      <c r="G229" s="13" t="n">
        <v>18</v>
      </c>
      <c r="H229" s="18" t="n">
        <f aca="false">N(G229)-N(F229)</f>
        <v>18</v>
      </c>
      <c r="I229" s="13"/>
    </row>
    <row r="230" customFormat="false" ht="15" hidden="false" customHeight="false" outlineLevel="0" collapsed="false">
      <c r="B230" s="12" t="s">
        <v>39</v>
      </c>
      <c r="C230" s="12" t="s">
        <v>621</v>
      </c>
      <c r="D230" s="17" t="s">
        <v>622</v>
      </c>
      <c r="E230" s="17"/>
      <c r="F230" s="13" t="n">
        <v>0</v>
      </c>
      <c r="G230" s="13" t="n">
        <v>1</v>
      </c>
      <c r="H230" s="18" t="n">
        <f aca="false">N(G230)-N(F230)</f>
        <v>1</v>
      </c>
      <c r="I230" s="13"/>
    </row>
    <row r="231" customFormat="false" ht="15" hidden="false" customHeight="false" outlineLevel="0" collapsed="false">
      <c r="B231" s="12" t="s">
        <v>39</v>
      </c>
      <c r="C231" s="12" t="s">
        <v>310</v>
      </c>
      <c r="D231" s="17" t="s">
        <v>311</v>
      </c>
      <c r="E231" s="17" t="s">
        <v>68</v>
      </c>
      <c r="F231" s="13" t="n">
        <v>6</v>
      </c>
      <c r="G231" s="13" t="n">
        <v>6</v>
      </c>
      <c r="H231" s="18" t="n">
        <f aca="false">N(G231)-N(F231)</f>
        <v>0</v>
      </c>
      <c r="I231" s="13" t="n">
        <v>6</v>
      </c>
    </row>
    <row r="232" customFormat="false" ht="15" hidden="false" customHeight="false" outlineLevel="0" collapsed="false">
      <c r="B232" s="12" t="s">
        <v>39</v>
      </c>
      <c r="C232" s="12" t="s">
        <v>375</v>
      </c>
      <c r="D232" s="17" t="s">
        <v>376</v>
      </c>
      <c r="E232" s="17"/>
      <c r="F232" s="13" t="n">
        <v>0</v>
      </c>
      <c r="G232" s="13" t="n">
        <v>3</v>
      </c>
      <c r="H232" s="18" t="n">
        <f aca="false">N(G232)-N(F232)</f>
        <v>3</v>
      </c>
      <c r="I232" s="13"/>
    </row>
    <row r="233" customFormat="false" ht="15" hidden="false" customHeight="false" outlineLevel="0" collapsed="false">
      <c r="B233" s="12" t="s">
        <v>39</v>
      </c>
      <c r="C233" s="12" t="s">
        <v>354</v>
      </c>
      <c r="D233" s="17" t="s">
        <v>355</v>
      </c>
      <c r="E233" s="17" t="s">
        <v>68</v>
      </c>
      <c r="F233" s="13" t="n">
        <v>8</v>
      </c>
      <c r="G233" s="13" t="n">
        <v>8</v>
      </c>
      <c r="H233" s="18" t="n">
        <f aca="false">N(G233)-N(F233)</f>
        <v>0</v>
      </c>
      <c r="I233" s="13" t="n">
        <v>60</v>
      </c>
    </row>
    <row r="234" customFormat="false" ht="15" hidden="false" customHeight="false" outlineLevel="0" collapsed="false">
      <c r="B234" s="12" t="s">
        <v>39</v>
      </c>
      <c r="C234" s="12" t="s">
        <v>356</v>
      </c>
      <c r="D234" s="17" t="s">
        <v>357</v>
      </c>
      <c r="E234" s="17" t="s">
        <v>68</v>
      </c>
      <c r="F234" s="13" t="n">
        <v>6</v>
      </c>
      <c r="G234" s="13" t="n">
        <v>5</v>
      </c>
      <c r="H234" s="18" t="n">
        <f aca="false">N(G234)-N(F234)</f>
        <v>-1</v>
      </c>
      <c r="I234" s="13" t="n">
        <v>6</v>
      </c>
    </row>
    <row r="235" customFormat="false" ht="15" hidden="false" customHeight="false" outlineLevel="0" collapsed="false">
      <c r="B235" s="12" t="s">
        <v>39</v>
      </c>
      <c r="C235" s="12" t="s">
        <v>150</v>
      </c>
      <c r="D235" s="17" t="s">
        <v>151</v>
      </c>
      <c r="E235" s="17" t="s">
        <v>68</v>
      </c>
      <c r="F235" s="13" t="n">
        <v>30</v>
      </c>
      <c r="G235" s="13" t="n">
        <v>31</v>
      </c>
      <c r="H235" s="18" t="n">
        <f aca="false">N(G235)-N(F235)</f>
        <v>1</v>
      </c>
      <c r="I235" s="13" t="n">
        <v>30</v>
      </c>
    </row>
    <row r="236" customFormat="false" ht="15" hidden="false" customHeight="false" outlineLevel="0" collapsed="false">
      <c r="B236" s="12" t="s">
        <v>39</v>
      </c>
      <c r="C236" s="12" t="s">
        <v>540</v>
      </c>
      <c r="D236" s="17" t="s">
        <v>541</v>
      </c>
      <c r="E236" s="17"/>
      <c r="F236" s="13" t="n">
        <v>0</v>
      </c>
      <c r="G236" s="13" t="n">
        <v>2</v>
      </c>
      <c r="H236" s="18" t="n">
        <f aca="false">N(G236)-N(F236)</f>
        <v>2</v>
      </c>
      <c r="I236" s="13"/>
    </row>
    <row r="237" customFormat="false" ht="15" hidden="false" customHeight="false" outlineLevel="0" collapsed="false">
      <c r="B237" s="12" t="s">
        <v>39</v>
      </c>
      <c r="C237" s="12" t="s">
        <v>184</v>
      </c>
      <c r="D237" s="17" t="s">
        <v>185</v>
      </c>
      <c r="E237" s="17" t="s">
        <v>68</v>
      </c>
      <c r="F237" s="13" t="n">
        <v>10</v>
      </c>
      <c r="G237" s="13" t="n">
        <v>1</v>
      </c>
      <c r="H237" s="18" t="n">
        <f aca="false">N(G237)-N(F237)</f>
        <v>-9</v>
      </c>
      <c r="I237" s="13" t="n">
        <v>10</v>
      </c>
    </row>
    <row r="238" customFormat="false" ht="15" hidden="false" customHeight="false" outlineLevel="0" collapsed="false">
      <c r="B238" s="12" t="s">
        <v>39</v>
      </c>
      <c r="C238" s="12" t="s">
        <v>472</v>
      </c>
      <c r="D238" s="17" t="s">
        <v>473</v>
      </c>
      <c r="E238" s="17" t="s">
        <v>68</v>
      </c>
      <c r="F238" s="13" t="n">
        <v>0</v>
      </c>
      <c r="G238" s="13" t="n">
        <v>1</v>
      </c>
      <c r="H238" s="18" t="n">
        <f aca="false">N(G238)-N(F238)</f>
        <v>1</v>
      </c>
      <c r="I238" s="13" t="n">
        <v>1</v>
      </c>
    </row>
    <row r="239" customFormat="false" ht="15" hidden="false" customHeight="false" outlineLevel="0" collapsed="false">
      <c r="B239" s="12" t="s">
        <v>39</v>
      </c>
      <c r="C239" s="12" t="s">
        <v>359</v>
      </c>
      <c r="D239" s="17" t="s">
        <v>360</v>
      </c>
      <c r="E239" s="17"/>
      <c r="F239" s="13" t="n">
        <v>0</v>
      </c>
      <c r="G239" s="13" t="n">
        <v>5</v>
      </c>
      <c r="H239" s="18" t="n">
        <f aca="false">N(G239)-N(F239)</f>
        <v>5</v>
      </c>
      <c r="I239" s="13"/>
    </row>
    <row r="240" customFormat="false" ht="15" hidden="false" customHeight="false" outlineLevel="0" collapsed="false">
      <c r="B240" s="12" t="s">
        <v>39</v>
      </c>
      <c r="C240" s="12" t="s">
        <v>623</v>
      </c>
      <c r="D240" s="17" t="s">
        <v>624</v>
      </c>
      <c r="E240" s="17"/>
      <c r="F240" s="13" t="n">
        <v>0</v>
      </c>
      <c r="G240" s="13" t="n">
        <v>3</v>
      </c>
      <c r="H240" s="18" t="n">
        <f aca="false">N(G240)-N(F240)</f>
        <v>3</v>
      </c>
      <c r="I240" s="13"/>
    </row>
    <row r="241" customFormat="false" ht="15" hidden="false" customHeight="false" outlineLevel="0" collapsed="false">
      <c r="B241" s="12" t="s">
        <v>39</v>
      </c>
      <c r="C241" s="12" t="s">
        <v>252</v>
      </c>
      <c r="D241" s="17" t="s">
        <v>253</v>
      </c>
      <c r="E241" s="17"/>
      <c r="F241" s="13" t="n">
        <v>0</v>
      </c>
      <c r="G241" s="13" t="n">
        <v>3</v>
      </c>
      <c r="H241" s="18" t="n">
        <f aca="false">N(G241)-N(F241)</f>
        <v>3</v>
      </c>
      <c r="I241" s="13"/>
    </row>
    <row r="242" customFormat="false" ht="15" hidden="false" customHeight="false" outlineLevel="0" collapsed="false">
      <c r="B242" s="12" t="s">
        <v>39</v>
      </c>
      <c r="C242" s="12" t="s">
        <v>152</v>
      </c>
      <c r="D242" s="17" t="s">
        <v>153</v>
      </c>
      <c r="E242" s="17"/>
      <c r="F242" s="13" t="n">
        <v>0</v>
      </c>
      <c r="G242" s="13" t="n">
        <v>47</v>
      </c>
      <c r="H242" s="18" t="n">
        <f aca="false">N(G242)-N(F242)</f>
        <v>47</v>
      </c>
      <c r="I242" s="13"/>
    </row>
    <row r="243" customFormat="false" ht="15" hidden="false" customHeight="false" outlineLevel="0" collapsed="false">
      <c r="B243" s="12" t="s">
        <v>39</v>
      </c>
      <c r="C243" s="12" t="s">
        <v>378</v>
      </c>
      <c r="D243" s="17" t="s">
        <v>379</v>
      </c>
      <c r="E243" s="17"/>
      <c r="F243" s="13" t="n">
        <v>0</v>
      </c>
      <c r="G243" s="13" t="n">
        <v>2</v>
      </c>
      <c r="H243" s="18" t="n">
        <f aca="false">N(G243)-N(F243)</f>
        <v>2</v>
      </c>
      <c r="I243" s="13"/>
    </row>
    <row r="244" customFormat="false" ht="15" hidden="false" customHeight="false" outlineLevel="0" collapsed="false">
      <c r="B244" s="12" t="s">
        <v>39</v>
      </c>
      <c r="C244" s="12" t="s">
        <v>543</v>
      </c>
      <c r="D244" s="17" t="s">
        <v>544</v>
      </c>
      <c r="E244" s="17"/>
      <c r="F244" s="13" t="n">
        <v>0</v>
      </c>
      <c r="G244" s="13" t="n">
        <v>3</v>
      </c>
      <c r="H244" s="18" t="n">
        <f aca="false">N(G244)-N(F244)</f>
        <v>3</v>
      </c>
      <c r="I244" s="13"/>
    </row>
    <row r="245" customFormat="false" ht="15" hidden="false" customHeight="false" outlineLevel="0" collapsed="false">
      <c r="B245" s="12" t="s">
        <v>39</v>
      </c>
      <c r="C245" s="12" t="s">
        <v>155</v>
      </c>
      <c r="D245" s="17" t="s">
        <v>156</v>
      </c>
      <c r="E245" s="17" t="s">
        <v>68</v>
      </c>
      <c r="F245" s="13" t="n">
        <v>3</v>
      </c>
      <c r="G245" s="13" t="n">
        <v>9</v>
      </c>
      <c r="H245" s="18" t="n">
        <f aca="false">N(G245)-N(F245)</f>
        <v>6</v>
      </c>
      <c r="I245" s="13" t="n">
        <v>6</v>
      </c>
    </row>
    <row r="246" customFormat="false" ht="15" hidden="false" customHeight="false" outlineLevel="0" collapsed="false">
      <c r="B246" s="12" t="s">
        <v>39</v>
      </c>
      <c r="C246" s="12" t="s">
        <v>255</v>
      </c>
      <c r="D246" s="17" t="s">
        <v>256</v>
      </c>
      <c r="E246" s="17" t="s">
        <v>94</v>
      </c>
      <c r="F246" s="13" t="n">
        <v>3500</v>
      </c>
      <c r="G246" s="13" t="n">
        <v>2883</v>
      </c>
      <c r="H246" s="18" t="n">
        <f aca="false">N(G246)-N(F246)</f>
        <v>-617</v>
      </c>
      <c r="I246" s="13" t="n">
        <v>3513.6823</v>
      </c>
    </row>
    <row r="247" customFormat="false" ht="15" hidden="false" customHeight="false" outlineLevel="0" collapsed="false">
      <c r="B247" s="12" t="s">
        <v>39</v>
      </c>
      <c r="C247" s="12" t="s">
        <v>157</v>
      </c>
      <c r="D247" s="17" t="s">
        <v>158</v>
      </c>
      <c r="E247" s="17" t="s">
        <v>68</v>
      </c>
      <c r="F247" s="13" t="n">
        <v>55</v>
      </c>
      <c r="G247" s="13" t="n">
        <v>47</v>
      </c>
      <c r="H247" s="18" t="n">
        <f aca="false">N(G247)-N(F247)</f>
        <v>-8</v>
      </c>
      <c r="I247" s="13" t="n">
        <v>55</v>
      </c>
    </row>
    <row r="248" customFormat="false" ht="15" hidden="false" customHeight="false" outlineLevel="0" collapsed="false">
      <c r="B248" s="12" t="s">
        <v>39</v>
      </c>
      <c r="C248" s="12" t="s">
        <v>218</v>
      </c>
      <c r="D248" s="17" t="s">
        <v>219</v>
      </c>
      <c r="E248" s="17" t="s">
        <v>68</v>
      </c>
      <c r="F248" s="13" t="n">
        <v>4</v>
      </c>
      <c r="G248" s="13" t="n">
        <v>5</v>
      </c>
      <c r="H248" s="18" t="n">
        <f aca="false">N(G248)-N(F248)</f>
        <v>1</v>
      </c>
      <c r="I248" s="13" t="n">
        <v>4</v>
      </c>
    </row>
    <row r="249" customFormat="false" ht="15" hidden="false" customHeight="false" outlineLevel="0" collapsed="false">
      <c r="B249" s="12" t="s">
        <v>39</v>
      </c>
      <c r="C249" s="12" t="s">
        <v>221</v>
      </c>
      <c r="D249" s="17" t="s">
        <v>222</v>
      </c>
      <c r="E249" s="17" t="s">
        <v>68</v>
      </c>
      <c r="F249" s="13" t="n">
        <v>5</v>
      </c>
      <c r="G249" s="13" t="n">
        <v>6</v>
      </c>
      <c r="H249" s="18" t="n">
        <f aca="false">N(G249)-N(F249)</f>
        <v>1</v>
      </c>
      <c r="I249" s="13" t="n">
        <v>5</v>
      </c>
    </row>
    <row r="250" customFormat="false" ht="15" hidden="false" customHeight="false" outlineLevel="0" collapsed="false">
      <c r="B250" s="12" t="s">
        <v>39</v>
      </c>
      <c r="C250" s="12" t="s">
        <v>545</v>
      </c>
      <c r="D250" s="17" t="s">
        <v>546</v>
      </c>
      <c r="E250" s="17"/>
      <c r="F250" s="13" t="n">
        <v>0</v>
      </c>
      <c r="G250" s="13" t="n">
        <v>4</v>
      </c>
      <c r="H250" s="18" t="n">
        <f aca="false">N(G250)-N(F250)</f>
        <v>4</v>
      </c>
      <c r="I250" s="13"/>
    </row>
    <row r="251" customFormat="false" ht="15" hidden="false" customHeight="false" outlineLevel="0" collapsed="false">
      <c r="B251" s="12" t="s">
        <v>39</v>
      </c>
      <c r="C251" s="12" t="s">
        <v>159</v>
      </c>
      <c r="D251" s="17" t="s">
        <v>160</v>
      </c>
      <c r="E251" s="17" t="s">
        <v>68</v>
      </c>
      <c r="F251" s="13" t="n">
        <v>7</v>
      </c>
      <c r="G251" s="13" t="n">
        <v>6</v>
      </c>
      <c r="H251" s="18" t="n">
        <f aca="false">N(G251)-N(F251)</f>
        <v>-1</v>
      </c>
      <c r="I251" s="13" t="n">
        <v>7</v>
      </c>
    </row>
    <row r="252" customFormat="false" ht="15" hidden="false" customHeight="false" outlineLevel="0" collapsed="false">
      <c r="B252" s="12" t="s">
        <v>39</v>
      </c>
      <c r="C252" s="12" t="s">
        <v>314</v>
      </c>
      <c r="D252" s="17" t="s">
        <v>160</v>
      </c>
      <c r="E252" s="17"/>
      <c r="F252" s="13" t="n">
        <v>0</v>
      </c>
      <c r="G252" s="13" t="n">
        <v>1</v>
      </c>
      <c r="H252" s="18" t="n">
        <f aca="false">N(G252)-N(F252)</f>
        <v>1</v>
      </c>
      <c r="I252" s="13"/>
    </row>
    <row r="253" customFormat="false" ht="15" hidden="false" customHeight="false" outlineLevel="0" collapsed="false">
      <c r="B253" s="12" t="s">
        <v>39</v>
      </c>
      <c r="C253" s="12" t="s">
        <v>437</v>
      </c>
      <c r="D253" s="17" t="s">
        <v>438</v>
      </c>
      <c r="E253" s="17"/>
      <c r="F253" s="13" t="n">
        <v>0</v>
      </c>
      <c r="G253" s="13" t="n">
        <v>3</v>
      </c>
      <c r="H253" s="18" t="n">
        <f aca="false">N(G253)-N(F253)</f>
        <v>3</v>
      </c>
      <c r="I253" s="13"/>
    </row>
    <row r="254" customFormat="false" ht="15" hidden="false" customHeight="false" outlineLevel="0" collapsed="false">
      <c r="B254" s="12" t="s">
        <v>39</v>
      </c>
      <c r="C254" s="12" t="s">
        <v>125</v>
      </c>
      <c r="D254" s="17" t="s">
        <v>126</v>
      </c>
      <c r="E254" s="17" t="s">
        <v>68</v>
      </c>
      <c r="F254" s="13" t="n">
        <v>15</v>
      </c>
      <c r="G254" s="13" t="n">
        <v>15</v>
      </c>
      <c r="H254" s="18" t="n">
        <f aca="false">N(G254)-N(F254)</f>
        <v>0</v>
      </c>
      <c r="I254" s="13" t="n">
        <v>15</v>
      </c>
    </row>
    <row r="255" customFormat="false" ht="15" hidden="false" customHeight="false" outlineLevel="0" collapsed="false">
      <c r="B255" s="12" t="s">
        <v>39</v>
      </c>
      <c r="C255" s="12" t="s">
        <v>127</v>
      </c>
      <c r="D255" s="17" t="s">
        <v>128</v>
      </c>
      <c r="E255" s="17" t="s">
        <v>68</v>
      </c>
      <c r="F255" s="13" t="n">
        <v>30</v>
      </c>
      <c r="G255" s="13" t="n">
        <v>36</v>
      </c>
      <c r="H255" s="18" t="n">
        <f aca="false">N(G255)-N(F255)</f>
        <v>6</v>
      </c>
      <c r="I255" s="13" t="n">
        <v>30</v>
      </c>
    </row>
    <row r="256" customFormat="false" ht="15" hidden="false" customHeight="false" outlineLevel="0" collapsed="false">
      <c r="B256" s="12" t="s">
        <v>39</v>
      </c>
      <c r="C256" s="12" t="s">
        <v>258</v>
      </c>
      <c r="D256" s="17" t="s">
        <v>259</v>
      </c>
      <c r="E256" s="17" t="s">
        <v>68</v>
      </c>
      <c r="F256" s="13" t="n">
        <v>30</v>
      </c>
      <c r="G256" s="13" t="n">
        <v>23</v>
      </c>
      <c r="H256" s="18" t="n">
        <f aca="false">N(G256)-N(F256)</f>
        <v>-7</v>
      </c>
      <c r="I256" s="13" t="n">
        <v>30</v>
      </c>
    </row>
    <row r="257" customFormat="false" ht="15" hidden="false" customHeight="false" outlineLevel="0" collapsed="false">
      <c r="B257" s="12" t="s">
        <v>39</v>
      </c>
      <c r="C257" s="12" t="s">
        <v>260</v>
      </c>
      <c r="D257" s="17" t="s">
        <v>261</v>
      </c>
      <c r="E257" s="17"/>
      <c r="F257" s="13" t="n">
        <v>23</v>
      </c>
      <c r="G257" s="13" t="n">
        <v>4</v>
      </c>
      <c r="H257" s="18" t="n">
        <f aca="false">N(G257)-N(F257)</f>
        <v>-19</v>
      </c>
      <c r="I257" s="13"/>
    </row>
    <row r="258" customFormat="false" ht="15" hidden="false" customHeight="false" outlineLevel="0" collapsed="false">
      <c r="B258" s="12" t="s">
        <v>39</v>
      </c>
      <c r="C258" s="12" t="s">
        <v>224</v>
      </c>
      <c r="D258" s="17" t="s">
        <v>225</v>
      </c>
      <c r="E258" s="17" t="s">
        <v>68</v>
      </c>
      <c r="F258" s="13" t="n">
        <v>13</v>
      </c>
      <c r="G258" s="13" t="n">
        <v>11</v>
      </c>
      <c r="H258" s="18" t="n">
        <f aca="false">N(G258)-N(F258)</f>
        <v>-2</v>
      </c>
      <c r="I258" s="13" t="n">
        <v>150</v>
      </c>
    </row>
    <row r="259" customFormat="false" ht="15" hidden="false" customHeight="false" outlineLevel="0" collapsed="false">
      <c r="B259" s="12" t="s">
        <v>39</v>
      </c>
      <c r="C259" s="12" t="s">
        <v>364</v>
      </c>
      <c r="D259" s="17" t="s">
        <v>365</v>
      </c>
      <c r="E259" s="17" t="s">
        <v>68</v>
      </c>
      <c r="F259" s="13" t="n">
        <v>6</v>
      </c>
      <c r="G259" s="13" t="n">
        <v>3</v>
      </c>
      <c r="H259" s="18" t="n">
        <f aca="false">N(G259)-N(F259)</f>
        <v>-3</v>
      </c>
      <c r="I259" s="13" t="n">
        <v>6</v>
      </c>
    </row>
    <row r="260" customFormat="false" ht="15" hidden="false" customHeight="false" outlineLevel="0" collapsed="false">
      <c r="B260" s="12" t="s">
        <v>39</v>
      </c>
      <c r="C260" s="12" t="s">
        <v>653</v>
      </c>
      <c r="D260" s="17" t="s">
        <v>654</v>
      </c>
      <c r="E260" s="17"/>
      <c r="F260" s="13" t="n">
        <v>0</v>
      </c>
      <c r="G260" s="13" t="n">
        <v>1</v>
      </c>
      <c r="H260" s="18" t="n">
        <f aca="false">N(G260)-N(F260)</f>
        <v>1</v>
      </c>
      <c r="I260" s="13"/>
    </row>
    <row r="261" customFormat="false" ht="15" hidden="false" customHeight="false" outlineLevel="0" collapsed="false">
      <c r="B261" s="12" t="s">
        <v>39</v>
      </c>
      <c r="C261" s="12" t="s">
        <v>277</v>
      </c>
      <c r="D261" s="17" t="s">
        <v>278</v>
      </c>
      <c r="E261" s="17"/>
      <c r="F261" s="13" t="n">
        <v>37</v>
      </c>
      <c r="G261" s="13" t="n">
        <v>2</v>
      </c>
      <c r="H261" s="18" t="n">
        <f aca="false">N(G261)-N(F261)</f>
        <v>-35</v>
      </c>
      <c r="I261" s="13"/>
    </row>
    <row r="262" customFormat="false" ht="15" hidden="false" customHeight="false" outlineLevel="0" collapsed="false">
      <c r="B262" s="12" t="s">
        <v>39</v>
      </c>
      <c r="C262" s="12" t="s">
        <v>161</v>
      </c>
      <c r="D262" s="17" t="s">
        <v>162</v>
      </c>
      <c r="E262" s="17"/>
      <c r="F262" s="13" t="n">
        <v>0</v>
      </c>
      <c r="G262" s="13" t="n">
        <v>375</v>
      </c>
      <c r="H262" s="18" t="n">
        <f aca="false">N(G262)-N(F262)</f>
        <v>375</v>
      </c>
      <c r="I262" s="13"/>
    </row>
    <row r="263" customFormat="false" ht="15" hidden="false" customHeight="false" outlineLevel="0" collapsed="false">
      <c r="B263" s="12" t="s">
        <v>39</v>
      </c>
      <c r="C263" s="12" t="s">
        <v>659</v>
      </c>
      <c r="D263" s="17" t="s">
        <v>660</v>
      </c>
      <c r="E263" s="17"/>
      <c r="F263" s="13" t="n">
        <v>0</v>
      </c>
      <c r="G263" s="13" t="n">
        <v>3</v>
      </c>
      <c r="H263" s="18" t="n">
        <f aca="false">N(G263)-N(F263)</f>
        <v>3</v>
      </c>
      <c r="I263" s="13"/>
    </row>
    <row r="264" customFormat="false" ht="15" hidden="false" customHeight="false" outlineLevel="0" collapsed="false">
      <c r="B264" s="12" t="s">
        <v>39</v>
      </c>
      <c r="C264" s="12" t="s">
        <v>263</v>
      </c>
      <c r="D264" s="17" t="s">
        <v>264</v>
      </c>
      <c r="E264" s="17" t="s">
        <v>68</v>
      </c>
      <c r="F264" s="13" t="n">
        <v>5</v>
      </c>
      <c r="G264" s="13" t="n">
        <v>6</v>
      </c>
      <c r="H264" s="18" t="n">
        <f aca="false">N(G264)-N(F264)</f>
        <v>1</v>
      </c>
      <c r="I264" s="13" t="n">
        <v>5</v>
      </c>
    </row>
    <row r="265" customFormat="false" ht="15" hidden="false" customHeight="false" outlineLevel="0" collapsed="false">
      <c r="B265" s="12" t="s">
        <v>39</v>
      </c>
      <c r="C265" s="12" t="s">
        <v>265</v>
      </c>
      <c r="D265" s="17" t="s">
        <v>266</v>
      </c>
      <c r="E265" s="17" t="s">
        <v>68</v>
      </c>
      <c r="F265" s="13" t="n">
        <v>15</v>
      </c>
      <c r="G265" s="13" t="n">
        <v>19</v>
      </c>
      <c r="H265" s="18" t="n">
        <f aca="false">N(G265)-N(F265)</f>
        <v>4</v>
      </c>
      <c r="I265" s="13" t="n">
        <v>15</v>
      </c>
    </row>
    <row r="266" customFormat="false" ht="15" hidden="false" customHeight="false" outlineLevel="0" collapsed="false">
      <c r="B266" s="12" t="s">
        <v>39</v>
      </c>
      <c r="C266" s="12" t="s">
        <v>226</v>
      </c>
      <c r="D266" s="17" t="s">
        <v>227</v>
      </c>
      <c r="E266" s="17" t="s">
        <v>68</v>
      </c>
      <c r="F266" s="13" t="n">
        <v>1</v>
      </c>
      <c r="G266" s="13" t="n">
        <v>1</v>
      </c>
      <c r="H266" s="18" t="n">
        <f aca="false">N(G266)-N(F266)</f>
        <v>0</v>
      </c>
      <c r="I266" s="13" t="n">
        <v>1</v>
      </c>
    </row>
    <row r="267" customFormat="false" ht="15" hidden="false" customHeight="false" outlineLevel="0" collapsed="false">
      <c r="B267" s="12" t="s">
        <v>39</v>
      </c>
      <c r="C267" s="12" t="s">
        <v>280</v>
      </c>
      <c r="D267" s="17" t="s">
        <v>227</v>
      </c>
      <c r="E267" s="17" t="s">
        <v>68</v>
      </c>
      <c r="F267" s="13" t="n">
        <v>8</v>
      </c>
      <c r="G267" s="13" t="n">
        <v>7</v>
      </c>
      <c r="H267" s="18" t="n">
        <f aca="false">N(G267)-N(F267)</f>
        <v>-1</v>
      </c>
      <c r="I267" s="13" t="n">
        <v>5</v>
      </c>
    </row>
    <row r="268" customFormat="false" ht="15" hidden="false" customHeight="false" outlineLevel="0" collapsed="false">
      <c r="B268" s="12" t="s">
        <v>39</v>
      </c>
      <c r="C268" s="12" t="s">
        <v>550</v>
      </c>
      <c r="D268" s="17" t="s">
        <v>227</v>
      </c>
      <c r="E268" s="17" t="s">
        <v>68</v>
      </c>
      <c r="F268" s="13" t="n">
        <v>0</v>
      </c>
      <c r="G268" s="13" t="n">
        <v>1</v>
      </c>
      <c r="H268" s="18" t="n">
        <f aca="false">N(G268)-N(F268)</f>
        <v>1</v>
      </c>
      <c r="I268" s="13" t="n">
        <v>1</v>
      </c>
    </row>
    <row r="269" customFormat="false" ht="15" hidden="false" customHeight="false" outlineLevel="0" collapsed="false">
      <c r="B269" s="12" t="s">
        <v>40</v>
      </c>
      <c r="C269" s="12" t="s">
        <v>66</v>
      </c>
      <c r="D269" s="17" t="s">
        <v>67</v>
      </c>
      <c r="E269" s="17"/>
      <c r="F269" s="13" t="n">
        <v>0</v>
      </c>
      <c r="G269" s="13" t="n">
        <v>5</v>
      </c>
      <c r="H269" s="18" t="n">
        <f aca="false">N(G269)-N(F269)</f>
        <v>5</v>
      </c>
      <c r="I269" s="13"/>
    </row>
    <row r="270" customFormat="false" ht="15" hidden="false" customHeight="false" outlineLevel="0" collapsed="false">
      <c r="B270" s="12" t="s">
        <v>40</v>
      </c>
      <c r="C270" s="12" t="s">
        <v>187</v>
      </c>
      <c r="D270" s="17" t="s">
        <v>188</v>
      </c>
      <c r="E270" s="17" t="s">
        <v>68</v>
      </c>
      <c r="F270" s="13" t="n">
        <v>22</v>
      </c>
      <c r="G270" s="13" t="n">
        <v>0</v>
      </c>
      <c r="H270" s="18" t="n">
        <f aca="false">N(G270)-N(F270)</f>
        <v>-22</v>
      </c>
      <c r="I270" s="13" t="n">
        <v>22</v>
      </c>
    </row>
    <row r="271" customFormat="false" ht="15" hidden="false" customHeight="false" outlineLevel="0" collapsed="false">
      <c r="B271" s="12" t="s">
        <v>40</v>
      </c>
      <c r="C271" s="12" t="s">
        <v>383</v>
      </c>
      <c r="D271" s="17" t="s">
        <v>384</v>
      </c>
      <c r="E271" s="17"/>
      <c r="F271" s="13" t="n">
        <v>0</v>
      </c>
      <c r="G271" s="13" t="n">
        <v>4</v>
      </c>
      <c r="H271" s="18" t="n">
        <f aca="false">N(G271)-N(F271)</f>
        <v>4</v>
      </c>
      <c r="I271" s="13"/>
    </row>
    <row r="272" customFormat="false" ht="15" hidden="false" customHeight="false" outlineLevel="0" collapsed="false">
      <c r="B272" s="12" t="s">
        <v>40</v>
      </c>
      <c r="C272" s="12" t="s">
        <v>228</v>
      </c>
      <c r="D272" s="17" t="s">
        <v>229</v>
      </c>
      <c r="E272" s="17" t="s">
        <v>68</v>
      </c>
      <c r="F272" s="13" t="n">
        <v>17</v>
      </c>
      <c r="G272" s="13" t="n">
        <v>17</v>
      </c>
      <c r="H272" s="18" t="n">
        <f aca="false">N(G272)-N(F272)</f>
        <v>0</v>
      </c>
      <c r="I272" s="13" t="n">
        <v>17</v>
      </c>
    </row>
    <row r="273" customFormat="false" ht="15" hidden="false" customHeight="false" outlineLevel="0" collapsed="false">
      <c r="B273" s="12" t="s">
        <v>40</v>
      </c>
      <c r="C273" s="12" t="s">
        <v>268</v>
      </c>
      <c r="D273" s="17" t="s">
        <v>269</v>
      </c>
      <c r="E273" s="17"/>
      <c r="F273" s="13" t="n">
        <v>10</v>
      </c>
      <c r="G273" s="13" t="n">
        <v>11</v>
      </c>
      <c r="H273" s="18" t="n">
        <f aca="false">N(G273)-N(F273)</f>
        <v>1</v>
      </c>
      <c r="I273" s="13"/>
    </row>
    <row r="274" customFormat="false" ht="15" hidden="false" customHeight="false" outlineLevel="0" collapsed="false">
      <c r="B274" s="12" t="s">
        <v>40</v>
      </c>
      <c r="C274" s="12" t="s">
        <v>386</v>
      </c>
      <c r="D274" s="17" t="s">
        <v>387</v>
      </c>
      <c r="E274" s="17"/>
      <c r="F274" s="13" t="n">
        <v>0</v>
      </c>
      <c r="G274" s="13" t="n">
        <v>3</v>
      </c>
      <c r="H274" s="18" t="n">
        <f aca="false">N(G274)-N(F274)</f>
        <v>3</v>
      </c>
      <c r="I274" s="13"/>
    </row>
    <row r="275" customFormat="false" ht="15" hidden="false" customHeight="false" outlineLevel="0" collapsed="false">
      <c r="B275" s="12" t="s">
        <v>40</v>
      </c>
      <c r="C275" s="12" t="s">
        <v>129</v>
      </c>
      <c r="D275" s="17" t="s">
        <v>130</v>
      </c>
      <c r="E275" s="17"/>
      <c r="F275" s="13" t="n">
        <v>0</v>
      </c>
      <c r="G275" s="13" t="n">
        <v>7</v>
      </c>
      <c r="H275" s="18" t="n">
        <f aca="false">N(G275)-N(F275)</f>
        <v>7</v>
      </c>
      <c r="I275" s="13"/>
    </row>
    <row r="276" customFormat="false" ht="15" hidden="false" customHeight="false" outlineLevel="0" collapsed="false">
      <c r="B276" s="12" t="s">
        <v>40</v>
      </c>
      <c r="C276" s="12" t="s">
        <v>274</v>
      </c>
      <c r="D276" s="17" t="s">
        <v>275</v>
      </c>
      <c r="E276" s="17" t="s">
        <v>68</v>
      </c>
      <c r="F276" s="13" t="n">
        <v>0</v>
      </c>
      <c r="G276" s="13" t="n">
        <v>0</v>
      </c>
      <c r="H276" s="18" t="n">
        <f aca="false">N(G276)-N(F276)</f>
        <v>0</v>
      </c>
      <c r="I276" s="13" t="n">
        <v>44</v>
      </c>
    </row>
    <row r="277" customFormat="false" ht="15" hidden="false" customHeight="false" outlineLevel="0" collapsed="false">
      <c r="B277" s="12" t="s">
        <v>40</v>
      </c>
      <c r="C277" s="12" t="s">
        <v>231</v>
      </c>
      <c r="D277" s="17" t="s">
        <v>232</v>
      </c>
      <c r="E277" s="17"/>
      <c r="F277" s="13" t="n">
        <v>0</v>
      </c>
      <c r="G277" s="13" t="n">
        <v>8</v>
      </c>
      <c r="H277" s="18" t="n">
        <f aca="false">N(G277)-N(F277)</f>
        <v>8</v>
      </c>
      <c r="I277" s="13"/>
    </row>
    <row r="278" customFormat="false" ht="15" hidden="false" customHeight="false" outlineLevel="0" collapsed="false">
      <c r="B278" s="12" t="s">
        <v>40</v>
      </c>
      <c r="C278" s="12" t="s">
        <v>285</v>
      </c>
      <c r="D278" s="17" t="s">
        <v>286</v>
      </c>
      <c r="E278" s="17"/>
      <c r="F278" s="13" t="n">
        <v>7</v>
      </c>
      <c r="G278" s="13" t="n">
        <v>7</v>
      </c>
      <c r="H278" s="18" t="n">
        <f aca="false">N(G278)-N(F278)</f>
        <v>0</v>
      </c>
      <c r="I278" s="13"/>
    </row>
    <row r="279" customFormat="false" ht="15" hidden="false" customHeight="false" outlineLevel="0" collapsed="false">
      <c r="B279" s="12" t="s">
        <v>40</v>
      </c>
      <c r="C279" s="12" t="s">
        <v>70</v>
      </c>
      <c r="D279" s="17" t="s">
        <v>71</v>
      </c>
      <c r="E279" s="17" t="s">
        <v>68</v>
      </c>
      <c r="F279" s="13" t="n">
        <v>114</v>
      </c>
      <c r="G279" s="13" t="n">
        <v>80</v>
      </c>
      <c r="H279" s="18" t="n">
        <f aca="false">N(G279)-N(F279)</f>
        <v>-34</v>
      </c>
      <c r="I279" s="13" t="n">
        <v>114</v>
      </c>
    </row>
    <row r="280" customFormat="false" ht="15" hidden="false" customHeight="false" outlineLevel="0" collapsed="false">
      <c r="B280" s="12" t="s">
        <v>40</v>
      </c>
      <c r="C280" s="12" t="s">
        <v>72</v>
      </c>
      <c r="D280" s="17" t="s">
        <v>73</v>
      </c>
      <c r="E280" s="17"/>
      <c r="F280" s="13" t="n">
        <v>0</v>
      </c>
      <c r="G280" s="13" t="n">
        <v>148</v>
      </c>
      <c r="H280" s="18" t="n">
        <f aca="false">N(G280)-N(F280)</f>
        <v>148</v>
      </c>
      <c r="I280" s="13"/>
    </row>
    <row r="281" customFormat="false" ht="15" hidden="false" customHeight="false" outlineLevel="0" collapsed="false">
      <c r="B281" s="12" t="s">
        <v>40</v>
      </c>
      <c r="C281" s="12" t="s">
        <v>74</v>
      </c>
      <c r="D281" s="17" t="s">
        <v>75</v>
      </c>
      <c r="E281" s="17"/>
      <c r="F281" s="13" t="n">
        <v>0</v>
      </c>
      <c r="G281" s="13" t="n">
        <v>68</v>
      </c>
      <c r="H281" s="18" t="n">
        <f aca="false">N(G281)-N(F281)</f>
        <v>68</v>
      </c>
      <c r="I281" s="13"/>
    </row>
    <row r="282" customFormat="false" ht="15" hidden="false" customHeight="false" outlineLevel="0" collapsed="false">
      <c r="B282" s="12" t="s">
        <v>40</v>
      </c>
      <c r="C282" s="12" t="s">
        <v>164</v>
      </c>
      <c r="D282" s="17" t="s">
        <v>165</v>
      </c>
      <c r="E282" s="17"/>
      <c r="F282" s="13" t="n">
        <v>0</v>
      </c>
      <c r="G282" s="13" t="n">
        <v>3</v>
      </c>
      <c r="H282" s="18" t="n">
        <f aca="false">N(G282)-N(F282)</f>
        <v>3</v>
      </c>
      <c r="I282" s="13"/>
    </row>
    <row r="283" customFormat="false" ht="15" hidden="false" customHeight="false" outlineLevel="0" collapsed="false">
      <c r="B283" s="12" t="s">
        <v>40</v>
      </c>
      <c r="C283" s="12" t="s">
        <v>76</v>
      </c>
      <c r="D283" s="17" t="s">
        <v>77</v>
      </c>
      <c r="E283" s="17" t="s">
        <v>68</v>
      </c>
      <c r="F283" s="13" t="n">
        <v>39</v>
      </c>
      <c r="G283" s="13" t="n">
        <v>78</v>
      </c>
      <c r="H283" s="18" t="n">
        <f aca="false">N(G283)-N(F283)</f>
        <v>39</v>
      </c>
      <c r="I283" s="13" t="n">
        <v>119</v>
      </c>
    </row>
    <row r="284" customFormat="false" ht="15" hidden="false" customHeight="false" outlineLevel="0" collapsed="false">
      <c r="B284" s="12" t="s">
        <v>40</v>
      </c>
      <c r="C284" s="12" t="s">
        <v>493</v>
      </c>
      <c r="D284" s="17" t="s">
        <v>494</v>
      </c>
      <c r="E284" s="17" t="s">
        <v>68</v>
      </c>
      <c r="F284" s="13" t="n">
        <v>28</v>
      </c>
      <c r="G284" s="13" t="n">
        <v>28</v>
      </c>
      <c r="H284" s="18" t="n">
        <f aca="false">N(G284)-N(F284)</f>
        <v>0</v>
      </c>
      <c r="I284" s="13" t="n">
        <v>28</v>
      </c>
    </row>
    <row r="285" customFormat="false" ht="15" hidden="false" customHeight="false" outlineLevel="0" collapsed="false">
      <c r="B285" s="12" t="s">
        <v>40</v>
      </c>
      <c r="C285" s="12" t="s">
        <v>78</v>
      </c>
      <c r="D285" s="17" t="s">
        <v>79</v>
      </c>
      <c r="E285" s="17" t="s">
        <v>68</v>
      </c>
      <c r="F285" s="13" t="n">
        <v>42</v>
      </c>
      <c r="G285" s="13" t="n">
        <v>145</v>
      </c>
      <c r="H285" s="18" t="n">
        <f aca="false">N(G285)-N(F285)</f>
        <v>103</v>
      </c>
      <c r="I285" s="13" t="n">
        <v>42</v>
      </c>
    </row>
    <row r="286" customFormat="false" ht="15" hidden="false" customHeight="false" outlineLevel="0" collapsed="false">
      <c r="B286" s="12" t="s">
        <v>40</v>
      </c>
      <c r="C286" s="12" t="s">
        <v>559</v>
      </c>
      <c r="D286" s="17" t="s">
        <v>560</v>
      </c>
      <c r="E286" s="17" t="s">
        <v>68</v>
      </c>
      <c r="F286" s="13" t="n">
        <v>10</v>
      </c>
      <c r="G286" s="13" t="n">
        <v>0</v>
      </c>
      <c r="H286" s="18" t="n">
        <f aca="false">N(G286)-N(F286)</f>
        <v>-10</v>
      </c>
      <c r="I286" s="13" t="n">
        <v>10</v>
      </c>
    </row>
    <row r="287" customFormat="false" ht="15" hidden="false" customHeight="false" outlineLevel="0" collapsed="false">
      <c r="B287" s="12" t="s">
        <v>40</v>
      </c>
      <c r="C287" s="12" t="s">
        <v>80</v>
      </c>
      <c r="D287" s="17" t="s">
        <v>81</v>
      </c>
      <c r="E287" s="17" t="s">
        <v>68</v>
      </c>
      <c r="F287" s="13" t="n">
        <v>195</v>
      </c>
      <c r="G287" s="13" t="n">
        <v>252</v>
      </c>
      <c r="H287" s="18" t="n">
        <f aca="false">N(G287)-N(F287)</f>
        <v>57</v>
      </c>
      <c r="I287" s="13" t="n">
        <v>195</v>
      </c>
    </row>
    <row r="288" customFormat="false" ht="15" hidden="false" customHeight="false" outlineLevel="0" collapsed="false">
      <c r="B288" s="12" t="s">
        <v>40</v>
      </c>
      <c r="C288" s="12" t="s">
        <v>82</v>
      </c>
      <c r="D288" s="17" t="s">
        <v>83</v>
      </c>
      <c r="E288" s="17" t="s">
        <v>68</v>
      </c>
      <c r="F288" s="13" t="n">
        <v>32</v>
      </c>
      <c r="G288" s="13" t="n">
        <v>17</v>
      </c>
      <c r="H288" s="18" t="n">
        <f aca="false">N(G288)-N(F288)</f>
        <v>-15</v>
      </c>
      <c r="I288" s="13" t="n">
        <v>32</v>
      </c>
    </row>
    <row r="289" customFormat="false" ht="15" hidden="false" customHeight="false" outlineLevel="0" collapsed="false">
      <c r="B289" s="12" t="s">
        <v>40</v>
      </c>
      <c r="C289" s="12" t="s">
        <v>190</v>
      </c>
      <c r="D289" s="17" t="s">
        <v>191</v>
      </c>
      <c r="E289" s="17"/>
      <c r="F289" s="13" t="n">
        <v>0</v>
      </c>
      <c r="G289" s="13" t="n">
        <v>3</v>
      </c>
      <c r="H289" s="18" t="n">
        <f aca="false">N(G289)-N(F289)</f>
        <v>3</v>
      </c>
      <c r="I289" s="13"/>
    </row>
    <row r="290" customFormat="false" ht="15" hidden="false" customHeight="false" outlineLevel="0" collapsed="false">
      <c r="B290" s="12" t="s">
        <v>40</v>
      </c>
      <c r="C290" s="12" t="s">
        <v>291</v>
      </c>
      <c r="D290" s="17" t="s">
        <v>292</v>
      </c>
      <c r="E290" s="17"/>
      <c r="F290" s="13" t="n">
        <v>500</v>
      </c>
      <c r="G290" s="13" t="n">
        <v>252</v>
      </c>
      <c r="H290" s="18" t="n">
        <f aca="false">N(G290)-N(F290)</f>
        <v>-248</v>
      </c>
      <c r="I290" s="13"/>
    </row>
    <row r="291" customFormat="false" ht="15" hidden="false" customHeight="false" outlineLevel="0" collapsed="false">
      <c r="B291" s="12" t="s">
        <v>40</v>
      </c>
      <c r="C291" s="12" t="s">
        <v>84</v>
      </c>
      <c r="D291" s="17" t="s">
        <v>85</v>
      </c>
      <c r="E291" s="17" t="s">
        <v>68</v>
      </c>
      <c r="F291" s="13" t="n">
        <v>40</v>
      </c>
      <c r="G291" s="13" t="n">
        <v>9</v>
      </c>
      <c r="H291" s="18" t="n">
        <f aca="false">N(G291)-N(F291)</f>
        <v>-31</v>
      </c>
      <c r="I291" s="13" t="n">
        <v>40</v>
      </c>
    </row>
    <row r="292" customFormat="false" ht="15" hidden="false" customHeight="false" outlineLevel="0" collapsed="false">
      <c r="B292" s="12" t="s">
        <v>40</v>
      </c>
      <c r="C292" s="12" t="s">
        <v>416</v>
      </c>
      <c r="D292" s="17" t="s">
        <v>417</v>
      </c>
      <c r="E292" s="17"/>
      <c r="F292" s="13" t="n">
        <v>0</v>
      </c>
      <c r="G292" s="13" t="n">
        <v>3</v>
      </c>
      <c r="H292" s="18" t="n">
        <f aca="false">N(G292)-N(F292)</f>
        <v>3</v>
      </c>
      <c r="I292" s="13"/>
    </row>
    <row r="293" customFormat="false" ht="15" hidden="false" customHeight="false" outlineLevel="0" collapsed="false">
      <c r="B293" s="12" t="s">
        <v>40</v>
      </c>
      <c r="C293" s="12" t="s">
        <v>193</v>
      </c>
      <c r="D293" s="17" t="s">
        <v>194</v>
      </c>
      <c r="E293" s="17" t="s">
        <v>68</v>
      </c>
      <c r="F293" s="13" t="n">
        <v>11</v>
      </c>
      <c r="G293" s="13" t="n">
        <v>11</v>
      </c>
      <c r="H293" s="18" t="n">
        <f aca="false">N(G293)-N(F293)</f>
        <v>0</v>
      </c>
      <c r="I293" s="13" t="n">
        <v>11</v>
      </c>
    </row>
    <row r="294" customFormat="false" ht="15" hidden="false" customHeight="false" outlineLevel="0" collapsed="false">
      <c r="B294" s="12" t="s">
        <v>40</v>
      </c>
      <c r="C294" s="12" t="s">
        <v>86</v>
      </c>
      <c r="D294" s="17" t="s">
        <v>87</v>
      </c>
      <c r="E294" s="17"/>
      <c r="F294" s="13" t="n">
        <v>0</v>
      </c>
      <c r="G294" s="13" t="n">
        <v>28</v>
      </c>
      <c r="H294" s="18" t="n">
        <f aca="false">N(G294)-N(F294)</f>
        <v>28</v>
      </c>
      <c r="I294" s="13"/>
    </row>
    <row r="295" customFormat="false" ht="15" hidden="false" customHeight="false" outlineLevel="0" collapsed="false">
      <c r="B295" s="12" t="s">
        <v>40</v>
      </c>
      <c r="C295" s="12" t="s">
        <v>132</v>
      </c>
      <c r="D295" s="17" t="s">
        <v>133</v>
      </c>
      <c r="E295" s="17" t="s">
        <v>68</v>
      </c>
      <c r="F295" s="13" t="n">
        <v>32</v>
      </c>
      <c r="G295" s="13" t="n">
        <v>26</v>
      </c>
      <c r="H295" s="18" t="n">
        <f aca="false">N(G295)-N(F295)</f>
        <v>-6</v>
      </c>
      <c r="I295" s="13" t="n">
        <v>32</v>
      </c>
    </row>
    <row r="296" customFormat="false" ht="15" hidden="false" customHeight="false" outlineLevel="0" collapsed="false">
      <c r="B296" s="12" t="s">
        <v>40</v>
      </c>
      <c r="C296" s="12" t="s">
        <v>196</v>
      </c>
      <c r="D296" s="17" t="s">
        <v>197</v>
      </c>
      <c r="E296" s="17" t="s">
        <v>68</v>
      </c>
      <c r="F296" s="13" t="n">
        <v>11</v>
      </c>
      <c r="G296" s="13" t="n">
        <v>11</v>
      </c>
      <c r="H296" s="18" t="n">
        <f aca="false">N(G296)-N(F296)</f>
        <v>0</v>
      </c>
      <c r="I296" s="13" t="n">
        <v>11</v>
      </c>
    </row>
    <row r="297" customFormat="false" ht="15" hidden="false" customHeight="false" outlineLevel="0" collapsed="false">
      <c r="B297" s="12" t="s">
        <v>40</v>
      </c>
      <c r="C297" s="12" t="s">
        <v>110</v>
      </c>
      <c r="D297" s="17" t="s">
        <v>111</v>
      </c>
      <c r="E297" s="17"/>
      <c r="F297" s="13" t="n">
        <v>0</v>
      </c>
      <c r="G297" s="13" t="n">
        <v>37</v>
      </c>
      <c r="H297" s="18" t="n">
        <f aca="false">N(G297)-N(F297)</f>
        <v>37</v>
      </c>
      <c r="I297" s="13"/>
    </row>
    <row r="298" customFormat="false" ht="15" hidden="false" customHeight="false" outlineLevel="0" collapsed="false">
      <c r="B298" s="12" t="s">
        <v>40</v>
      </c>
      <c r="C298" s="12" t="s">
        <v>135</v>
      </c>
      <c r="D298" s="17" t="s">
        <v>136</v>
      </c>
      <c r="E298" s="17" t="s">
        <v>94</v>
      </c>
      <c r="F298" s="13" t="n">
        <v>2450</v>
      </c>
      <c r="G298" s="13" t="n">
        <v>3501</v>
      </c>
      <c r="H298" s="18" t="n">
        <f aca="false">N(G298)-N(F298)</f>
        <v>1051</v>
      </c>
      <c r="I298" s="13" t="n">
        <v>2558.4673</v>
      </c>
    </row>
    <row r="299" customFormat="false" ht="15" hidden="false" customHeight="false" outlineLevel="0" collapsed="false">
      <c r="B299" s="12" t="s">
        <v>40</v>
      </c>
      <c r="C299" s="12" t="s">
        <v>198</v>
      </c>
      <c r="D299" s="17" t="s">
        <v>199</v>
      </c>
      <c r="E299" s="17"/>
      <c r="F299" s="13" t="n">
        <v>0</v>
      </c>
      <c r="G299" s="13" t="n">
        <v>76</v>
      </c>
      <c r="H299" s="18" t="n">
        <f aca="false">N(G299)-N(F299)</f>
        <v>76</v>
      </c>
      <c r="I299" s="13"/>
    </row>
    <row r="300" customFormat="false" ht="15" hidden="false" customHeight="false" outlineLevel="0" collapsed="false">
      <c r="B300" s="12" t="s">
        <v>40</v>
      </c>
      <c r="C300" s="12" t="s">
        <v>88</v>
      </c>
      <c r="D300" s="17" t="s">
        <v>89</v>
      </c>
      <c r="E300" s="17" t="s">
        <v>68</v>
      </c>
      <c r="F300" s="13" t="n">
        <v>46</v>
      </c>
      <c r="G300" s="13" t="n">
        <v>31</v>
      </c>
      <c r="H300" s="18" t="n">
        <f aca="false">N(G300)-N(F300)</f>
        <v>-15</v>
      </c>
      <c r="I300" s="13" t="n">
        <v>40</v>
      </c>
    </row>
    <row r="301" customFormat="false" ht="15" hidden="false" customHeight="false" outlineLevel="0" collapsed="false">
      <c r="B301" s="12" t="s">
        <v>40</v>
      </c>
      <c r="C301" s="12" t="s">
        <v>90</v>
      </c>
      <c r="D301" s="17" t="s">
        <v>91</v>
      </c>
      <c r="E301" s="17" t="s">
        <v>68</v>
      </c>
      <c r="F301" s="13" t="n">
        <v>30</v>
      </c>
      <c r="G301" s="13" t="n">
        <v>10</v>
      </c>
      <c r="H301" s="18" t="n">
        <f aca="false">N(G301)-N(F301)</f>
        <v>-20</v>
      </c>
      <c r="I301" s="13" t="n">
        <v>30</v>
      </c>
    </row>
    <row r="302" customFormat="false" ht="15" hidden="false" customHeight="false" outlineLevel="0" collapsed="false">
      <c r="B302" s="12" t="s">
        <v>40</v>
      </c>
      <c r="C302" s="12" t="s">
        <v>92</v>
      </c>
      <c r="D302" s="17" t="s">
        <v>93</v>
      </c>
      <c r="E302" s="17" t="s">
        <v>94</v>
      </c>
      <c r="F302" s="13" t="n">
        <v>1800</v>
      </c>
      <c r="G302" s="13" t="n">
        <v>2445</v>
      </c>
      <c r="H302" s="18" t="n">
        <f aca="false">N(G302)-N(F302)</f>
        <v>645</v>
      </c>
      <c r="I302" s="13" t="n">
        <v>819.921</v>
      </c>
    </row>
    <row r="303" customFormat="false" ht="15" hidden="false" customHeight="false" outlineLevel="0" collapsed="false">
      <c r="B303" s="12" t="s">
        <v>40</v>
      </c>
      <c r="C303" s="12" t="s">
        <v>240</v>
      </c>
      <c r="D303" s="17" t="s">
        <v>241</v>
      </c>
      <c r="E303" s="17" t="s">
        <v>94</v>
      </c>
      <c r="F303" s="13" t="n">
        <v>2150</v>
      </c>
      <c r="G303" s="13" t="n">
        <v>50</v>
      </c>
      <c r="H303" s="18" t="n">
        <f aca="false">N(G303)-N(F303)</f>
        <v>-2100</v>
      </c>
      <c r="I303" s="13" t="n">
        <v>3020.6209</v>
      </c>
    </row>
    <row r="304" customFormat="false" ht="15" hidden="false" customHeight="false" outlineLevel="0" collapsed="false">
      <c r="B304" s="12" t="s">
        <v>40</v>
      </c>
      <c r="C304" s="12" t="s">
        <v>95</v>
      </c>
      <c r="D304" s="17" t="s">
        <v>96</v>
      </c>
      <c r="E304" s="17"/>
      <c r="F304" s="13" t="n">
        <v>0</v>
      </c>
      <c r="G304" s="13" t="n">
        <v>3</v>
      </c>
      <c r="H304" s="18" t="n">
        <f aca="false">N(G304)-N(F304)</f>
        <v>3</v>
      </c>
      <c r="I304" s="13"/>
    </row>
    <row r="305" customFormat="false" ht="15" hidden="false" customHeight="false" outlineLevel="0" collapsed="false">
      <c r="B305" s="12" t="s">
        <v>40</v>
      </c>
      <c r="C305" s="12" t="s">
        <v>97</v>
      </c>
      <c r="D305" s="17" t="s">
        <v>98</v>
      </c>
      <c r="E305" s="17" t="s">
        <v>68</v>
      </c>
      <c r="F305" s="13" t="n">
        <v>49</v>
      </c>
      <c r="G305" s="13" t="n">
        <v>81</v>
      </c>
      <c r="H305" s="18" t="n">
        <f aca="false">N(G305)-N(F305)</f>
        <v>32</v>
      </c>
      <c r="I305" s="13" t="n">
        <v>49</v>
      </c>
    </row>
    <row r="306" customFormat="false" ht="15" hidden="false" customHeight="false" outlineLevel="0" collapsed="false">
      <c r="B306" s="12" t="s">
        <v>40</v>
      </c>
      <c r="C306" s="12" t="s">
        <v>515</v>
      </c>
      <c r="D306" s="17" t="s">
        <v>516</v>
      </c>
      <c r="E306" s="17"/>
      <c r="F306" s="13" t="n">
        <v>0</v>
      </c>
      <c r="G306" s="13" t="n">
        <v>1</v>
      </c>
      <c r="H306" s="18" t="n">
        <f aca="false">N(G306)-N(F306)</f>
        <v>1</v>
      </c>
      <c r="I306" s="13"/>
    </row>
    <row r="307" customFormat="false" ht="15" hidden="false" customHeight="false" outlineLevel="0" collapsed="false">
      <c r="B307" s="12" t="s">
        <v>40</v>
      </c>
      <c r="C307" s="12" t="s">
        <v>138</v>
      </c>
      <c r="D307" s="17" t="s">
        <v>139</v>
      </c>
      <c r="E307" s="17"/>
      <c r="F307" s="13" t="n">
        <v>0</v>
      </c>
      <c r="G307" s="13" t="n">
        <v>11</v>
      </c>
      <c r="H307" s="18" t="n">
        <f aca="false">N(G307)-N(F307)</f>
        <v>11</v>
      </c>
      <c r="I307" s="13"/>
    </row>
    <row r="308" customFormat="false" ht="15" hidden="false" customHeight="false" outlineLevel="0" collapsed="false">
      <c r="B308" s="12" t="s">
        <v>40</v>
      </c>
      <c r="C308" s="12" t="s">
        <v>366</v>
      </c>
      <c r="D308" s="17" t="s">
        <v>367</v>
      </c>
      <c r="E308" s="17" t="s">
        <v>68</v>
      </c>
      <c r="F308" s="13" t="n">
        <v>1</v>
      </c>
      <c r="G308" s="13" t="n">
        <v>1</v>
      </c>
      <c r="H308" s="18" t="n">
        <f aca="false">N(G308)-N(F308)</f>
        <v>0</v>
      </c>
      <c r="I308" s="13" t="n">
        <v>1</v>
      </c>
    </row>
    <row r="309" customFormat="false" ht="15" hidden="false" customHeight="false" outlineLevel="0" collapsed="false">
      <c r="B309" s="12" t="s">
        <v>40</v>
      </c>
      <c r="C309" s="12" t="s">
        <v>113</v>
      </c>
      <c r="D309" s="17" t="s">
        <v>114</v>
      </c>
      <c r="E309" s="17" t="s">
        <v>68</v>
      </c>
      <c r="F309" s="13" t="n">
        <v>14</v>
      </c>
      <c r="G309" s="13" t="n">
        <v>14</v>
      </c>
      <c r="H309" s="18" t="n">
        <f aca="false">N(G309)-N(F309)</f>
        <v>0</v>
      </c>
      <c r="I309" s="13" t="n">
        <v>14</v>
      </c>
    </row>
    <row r="310" customFormat="false" ht="15" hidden="false" customHeight="false" outlineLevel="0" collapsed="false">
      <c r="B310" s="12" t="s">
        <v>40</v>
      </c>
      <c r="C310" s="12" t="s">
        <v>115</v>
      </c>
      <c r="D310" s="17" t="s">
        <v>116</v>
      </c>
      <c r="E310" s="17" t="s">
        <v>68</v>
      </c>
      <c r="F310" s="13" t="n">
        <v>30</v>
      </c>
      <c r="G310" s="13" t="n">
        <v>0</v>
      </c>
      <c r="H310" s="18" t="n">
        <f aca="false">N(G310)-N(F310)</f>
        <v>-30</v>
      </c>
      <c r="I310" s="13" t="n">
        <v>30</v>
      </c>
    </row>
    <row r="311" customFormat="false" ht="15" hidden="false" customHeight="false" outlineLevel="0" collapsed="false">
      <c r="B311" s="12" t="s">
        <v>40</v>
      </c>
      <c r="C311" s="12" t="s">
        <v>118</v>
      </c>
      <c r="D311" s="17" t="s">
        <v>119</v>
      </c>
      <c r="E311" s="17" t="s">
        <v>68</v>
      </c>
      <c r="F311" s="13" t="n">
        <v>60</v>
      </c>
      <c r="G311" s="13" t="n">
        <v>62</v>
      </c>
      <c r="H311" s="18" t="n">
        <f aca="false">N(G311)-N(F311)</f>
        <v>2</v>
      </c>
      <c r="I311" s="13" t="n">
        <v>60</v>
      </c>
    </row>
    <row r="312" customFormat="false" ht="15" hidden="false" customHeight="false" outlineLevel="0" collapsed="false">
      <c r="B312" s="12" t="s">
        <v>40</v>
      </c>
      <c r="C312" s="12" t="s">
        <v>204</v>
      </c>
      <c r="D312" s="17" t="s">
        <v>205</v>
      </c>
      <c r="E312" s="17" t="s">
        <v>68</v>
      </c>
      <c r="F312" s="13" t="n">
        <v>7</v>
      </c>
      <c r="G312" s="13" t="n">
        <v>7</v>
      </c>
      <c r="H312" s="18" t="n">
        <f aca="false">N(G312)-N(F312)</f>
        <v>0</v>
      </c>
      <c r="I312" s="13" t="n">
        <v>7</v>
      </c>
    </row>
    <row r="313" customFormat="false" ht="15" hidden="false" customHeight="false" outlineLevel="0" collapsed="false">
      <c r="B313" s="12" t="s">
        <v>40</v>
      </c>
      <c r="C313" s="12" t="s">
        <v>99</v>
      </c>
      <c r="D313" s="17" t="s">
        <v>100</v>
      </c>
      <c r="E313" s="17" t="s">
        <v>68</v>
      </c>
      <c r="F313" s="13" t="n">
        <v>32</v>
      </c>
      <c r="G313" s="13" t="n">
        <v>28</v>
      </c>
      <c r="H313" s="18" t="n">
        <f aca="false">N(G313)-N(F313)</f>
        <v>-4</v>
      </c>
      <c r="I313" s="13" t="n">
        <v>32</v>
      </c>
    </row>
    <row r="314" customFormat="false" ht="15" hidden="false" customHeight="false" outlineLevel="0" collapsed="false">
      <c r="B314" s="12" t="s">
        <v>40</v>
      </c>
      <c r="C314" s="12" t="s">
        <v>173</v>
      </c>
      <c r="D314" s="17" t="s">
        <v>174</v>
      </c>
      <c r="E314" s="17" t="s">
        <v>68</v>
      </c>
      <c r="F314" s="13" t="n">
        <v>4</v>
      </c>
      <c r="G314" s="13" t="n">
        <v>4</v>
      </c>
      <c r="H314" s="18" t="n">
        <f aca="false">N(G314)-N(F314)</f>
        <v>0</v>
      </c>
      <c r="I314" s="13" t="n">
        <v>6</v>
      </c>
    </row>
    <row r="315" customFormat="false" ht="15" hidden="false" customHeight="false" outlineLevel="0" collapsed="false">
      <c r="B315" s="12" t="s">
        <v>40</v>
      </c>
      <c r="C315" s="12" t="s">
        <v>101</v>
      </c>
      <c r="D315" s="17" t="s">
        <v>102</v>
      </c>
      <c r="E315" s="17" t="s">
        <v>68</v>
      </c>
      <c r="F315" s="13" t="n">
        <v>0</v>
      </c>
      <c r="G315" s="13" t="n">
        <v>103</v>
      </c>
      <c r="H315" s="18" t="n">
        <f aca="false">N(G315)-N(F315)</f>
        <v>103</v>
      </c>
      <c r="I315" s="13" t="n">
        <v>22</v>
      </c>
    </row>
    <row r="316" customFormat="false" ht="15" hidden="false" customHeight="false" outlineLevel="0" collapsed="false">
      <c r="B316" s="12" t="s">
        <v>40</v>
      </c>
      <c r="C316" s="12" t="s">
        <v>121</v>
      </c>
      <c r="D316" s="17" t="s">
        <v>122</v>
      </c>
      <c r="E316" s="17" t="s">
        <v>68</v>
      </c>
      <c r="F316" s="13" t="n">
        <v>70</v>
      </c>
      <c r="G316" s="13" t="n">
        <v>79</v>
      </c>
      <c r="H316" s="18" t="n">
        <f aca="false">N(G316)-N(F316)</f>
        <v>9</v>
      </c>
      <c r="I316" s="13" t="n">
        <v>70</v>
      </c>
    </row>
    <row r="317" customFormat="false" ht="15" hidden="false" customHeight="false" outlineLevel="0" collapsed="false">
      <c r="B317" s="12" t="s">
        <v>40</v>
      </c>
      <c r="C317" s="12" t="s">
        <v>141</v>
      </c>
      <c r="D317" s="17" t="s">
        <v>142</v>
      </c>
      <c r="E317" s="17"/>
      <c r="F317" s="13" t="n">
        <v>0</v>
      </c>
      <c r="G317" s="13" t="n">
        <v>7</v>
      </c>
      <c r="H317" s="18" t="n">
        <f aca="false">N(G317)-N(F317)</f>
        <v>7</v>
      </c>
      <c r="I317" s="13"/>
    </row>
    <row r="318" customFormat="false" ht="15" hidden="false" customHeight="false" outlineLevel="0" collapsed="false">
      <c r="B318" s="12" t="s">
        <v>40</v>
      </c>
      <c r="C318" s="12" t="s">
        <v>207</v>
      </c>
      <c r="D318" s="17" t="s">
        <v>208</v>
      </c>
      <c r="E318" s="17" t="s">
        <v>68</v>
      </c>
      <c r="F318" s="13" t="n">
        <v>18</v>
      </c>
      <c r="G318" s="13" t="n">
        <v>18</v>
      </c>
      <c r="H318" s="18" t="n">
        <f aca="false">N(G318)-N(F318)</f>
        <v>0</v>
      </c>
      <c r="I318" s="13" t="n">
        <v>36</v>
      </c>
    </row>
    <row r="319" customFormat="false" ht="15" hidden="false" customHeight="false" outlineLevel="0" collapsed="false">
      <c r="B319" s="12" t="s">
        <v>40</v>
      </c>
      <c r="C319" s="12" t="s">
        <v>248</v>
      </c>
      <c r="D319" s="17" t="s">
        <v>133</v>
      </c>
      <c r="E319" s="17" t="s">
        <v>68</v>
      </c>
      <c r="F319" s="13" t="n">
        <v>11</v>
      </c>
      <c r="G319" s="13" t="n">
        <v>11</v>
      </c>
      <c r="H319" s="18" t="n">
        <f aca="false">N(G319)-N(F319)</f>
        <v>0</v>
      </c>
      <c r="I319" s="13" t="n">
        <v>11</v>
      </c>
    </row>
    <row r="320" customFormat="false" ht="15" hidden="false" customHeight="false" outlineLevel="0" collapsed="false">
      <c r="B320" s="12" t="s">
        <v>40</v>
      </c>
      <c r="C320" s="12" t="s">
        <v>210</v>
      </c>
      <c r="D320" s="17" t="s">
        <v>211</v>
      </c>
      <c r="E320" s="17" t="s">
        <v>68</v>
      </c>
      <c r="F320" s="13" t="n">
        <v>3</v>
      </c>
      <c r="G320" s="13" t="n">
        <v>3</v>
      </c>
      <c r="H320" s="18" t="n">
        <f aca="false">N(G320)-N(F320)</f>
        <v>0</v>
      </c>
      <c r="I320" s="13" t="n">
        <v>3</v>
      </c>
    </row>
    <row r="321" customFormat="false" ht="15" hidden="false" customHeight="false" outlineLevel="0" collapsed="false">
      <c r="B321" s="12" t="s">
        <v>40</v>
      </c>
      <c r="C321" s="12" t="s">
        <v>176</v>
      </c>
      <c r="D321" s="17" t="s">
        <v>177</v>
      </c>
      <c r="E321" s="17" t="s">
        <v>68</v>
      </c>
      <c r="F321" s="13" t="n">
        <v>15</v>
      </c>
      <c r="G321" s="13" t="n">
        <v>15</v>
      </c>
      <c r="H321" s="18" t="n">
        <f aca="false">N(G321)-N(F321)</f>
        <v>0</v>
      </c>
      <c r="I321" s="13" t="n">
        <v>15</v>
      </c>
    </row>
    <row r="322" customFormat="false" ht="15" hidden="false" customHeight="false" outlineLevel="0" collapsed="false">
      <c r="B322" s="12" t="s">
        <v>40</v>
      </c>
      <c r="C322" s="12" t="s">
        <v>212</v>
      </c>
      <c r="D322" s="17" t="s">
        <v>213</v>
      </c>
      <c r="E322" s="17"/>
      <c r="F322" s="13" t="n">
        <v>14</v>
      </c>
      <c r="G322" s="13" t="n">
        <v>14</v>
      </c>
      <c r="H322" s="18" t="n">
        <f aca="false">N(G322)-N(F322)</f>
        <v>0</v>
      </c>
      <c r="I322" s="13"/>
    </row>
    <row r="323" customFormat="false" ht="15" hidden="false" customHeight="false" outlineLevel="0" collapsed="false">
      <c r="B323" s="12" t="s">
        <v>40</v>
      </c>
      <c r="C323" s="12" t="s">
        <v>103</v>
      </c>
      <c r="D323" s="17" t="s">
        <v>104</v>
      </c>
      <c r="E323" s="17" t="s">
        <v>68</v>
      </c>
      <c r="F323" s="13" t="n">
        <v>187</v>
      </c>
      <c r="G323" s="13" t="n">
        <v>194</v>
      </c>
      <c r="H323" s="18" t="n">
        <f aca="false">N(G323)-N(F323)</f>
        <v>7</v>
      </c>
      <c r="I323" s="13" t="n">
        <v>207</v>
      </c>
    </row>
    <row r="324" customFormat="false" ht="15" hidden="false" customHeight="false" outlineLevel="0" collapsed="false">
      <c r="B324" s="12" t="s">
        <v>40</v>
      </c>
      <c r="C324" s="12" t="s">
        <v>215</v>
      </c>
      <c r="D324" s="17" t="s">
        <v>216</v>
      </c>
      <c r="E324" s="17" t="s">
        <v>68</v>
      </c>
      <c r="F324" s="13" t="n">
        <v>0</v>
      </c>
      <c r="G324" s="13" t="n">
        <v>4</v>
      </c>
      <c r="H324" s="18" t="n">
        <f aca="false">N(G324)-N(F324)</f>
        <v>4</v>
      </c>
      <c r="I324" s="13" t="n">
        <v>3</v>
      </c>
    </row>
    <row r="325" customFormat="false" ht="15" hidden="false" customHeight="false" outlineLevel="0" collapsed="false">
      <c r="B325" s="12" t="s">
        <v>40</v>
      </c>
      <c r="C325" s="12" t="s">
        <v>434</v>
      </c>
      <c r="D325" s="17" t="s">
        <v>435</v>
      </c>
      <c r="E325" s="17"/>
      <c r="F325" s="13" t="n">
        <v>0</v>
      </c>
      <c r="G325" s="13" t="n">
        <v>4</v>
      </c>
      <c r="H325" s="18" t="n">
        <f aca="false">N(G325)-N(F325)</f>
        <v>4</v>
      </c>
      <c r="I325" s="13"/>
    </row>
    <row r="326" customFormat="false" ht="15" hidden="false" customHeight="false" outlineLevel="0" collapsed="false">
      <c r="B326" s="12" t="s">
        <v>40</v>
      </c>
      <c r="C326" s="12" t="s">
        <v>179</v>
      </c>
      <c r="D326" s="17" t="s">
        <v>180</v>
      </c>
      <c r="E326" s="17" t="s">
        <v>68</v>
      </c>
      <c r="F326" s="13" t="n">
        <v>10</v>
      </c>
      <c r="G326" s="13" t="n">
        <v>0</v>
      </c>
      <c r="H326" s="18" t="n">
        <f aca="false">N(G326)-N(F326)</f>
        <v>-10</v>
      </c>
      <c r="I326" s="13" t="n">
        <v>10</v>
      </c>
    </row>
    <row r="327" customFormat="false" ht="15" hidden="false" customHeight="false" outlineLevel="0" collapsed="false">
      <c r="B327" s="12" t="s">
        <v>40</v>
      </c>
      <c r="C327" s="12" t="s">
        <v>143</v>
      </c>
      <c r="D327" s="17" t="s">
        <v>144</v>
      </c>
      <c r="E327" s="17" t="s">
        <v>68</v>
      </c>
      <c r="F327" s="13" t="n">
        <v>2</v>
      </c>
      <c r="G327" s="13" t="n">
        <v>2</v>
      </c>
      <c r="H327" s="18" t="n">
        <f aca="false">N(G327)-N(F327)</f>
        <v>0</v>
      </c>
      <c r="I327" s="13" t="n">
        <v>2</v>
      </c>
    </row>
    <row r="328" customFormat="false" ht="15" hidden="false" customHeight="false" outlineLevel="0" collapsed="false">
      <c r="B328" s="12" t="s">
        <v>40</v>
      </c>
      <c r="C328" s="12" t="s">
        <v>146</v>
      </c>
      <c r="D328" s="17" t="s">
        <v>147</v>
      </c>
      <c r="E328" s="17" t="s">
        <v>68</v>
      </c>
      <c r="F328" s="13" t="n">
        <v>3</v>
      </c>
      <c r="G328" s="13" t="n">
        <v>3</v>
      </c>
      <c r="H328" s="18" t="n">
        <f aca="false">N(G328)-N(F328)</f>
        <v>0</v>
      </c>
      <c r="I328" s="13" t="n">
        <v>3</v>
      </c>
    </row>
    <row r="329" customFormat="false" ht="15" hidden="false" customHeight="false" outlineLevel="0" collapsed="false">
      <c r="B329" s="12" t="s">
        <v>40</v>
      </c>
      <c r="C329" s="12" t="s">
        <v>182</v>
      </c>
      <c r="D329" s="17" t="s">
        <v>183</v>
      </c>
      <c r="E329" s="17" t="s">
        <v>68</v>
      </c>
      <c r="F329" s="13" t="n">
        <v>10</v>
      </c>
      <c r="G329" s="13" t="n">
        <v>3</v>
      </c>
      <c r="H329" s="18" t="n">
        <f aca="false">N(G329)-N(F329)</f>
        <v>-7</v>
      </c>
      <c r="I329" s="13" t="n">
        <v>10</v>
      </c>
    </row>
    <row r="330" customFormat="false" ht="15" hidden="false" customHeight="false" outlineLevel="0" collapsed="false">
      <c r="B330" s="12" t="s">
        <v>40</v>
      </c>
      <c r="C330" s="12" t="s">
        <v>250</v>
      </c>
      <c r="D330" s="17" t="s">
        <v>251</v>
      </c>
      <c r="E330" s="17"/>
      <c r="F330" s="13" t="n">
        <v>5</v>
      </c>
      <c r="G330" s="13" t="n">
        <v>4</v>
      </c>
      <c r="H330" s="18" t="n">
        <f aca="false">N(G330)-N(F330)</f>
        <v>-1</v>
      </c>
      <c r="I330" s="13"/>
    </row>
    <row r="331" customFormat="false" ht="15" hidden="false" customHeight="false" outlineLevel="0" collapsed="false">
      <c r="B331" s="12" t="s">
        <v>40</v>
      </c>
      <c r="C331" s="12" t="s">
        <v>148</v>
      </c>
      <c r="D331" s="17" t="s">
        <v>149</v>
      </c>
      <c r="E331" s="17"/>
      <c r="F331" s="13" t="n">
        <v>0</v>
      </c>
      <c r="G331" s="13" t="n">
        <v>130</v>
      </c>
      <c r="H331" s="18" t="n">
        <f aca="false">N(G331)-N(F331)</f>
        <v>130</v>
      </c>
      <c r="I331" s="13"/>
    </row>
    <row r="332" customFormat="false" ht="15" hidden="false" customHeight="false" outlineLevel="0" collapsed="false">
      <c r="B332" s="12" t="s">
        <v>40</v>
      </c>
      <c r="C332" s="12" t="s">
        <v>347</v>
      </c>
      <c r="D332" s="17" t="s">
        <v>348</v>
      </c>
      <c r="E332" s="17"/>
      <c r="F332" s="13" t="n">
        <v>0</v>
      </c>
      <c r="G332" s="13" t="n">
        <v>60</v>
      </c>
      <c r="H332" s="18" t="n">
        <f aca="false">N(G332)-N(F332)</f>
        <v>60</v>
      </c>
      <c r="I332" s="13"/>
    </row>
    <row r="333" customFormat="false" ht="15" hidden="false" customHeight="false" outlineLevel="0" collapsed="false">
      <c r="B333" s="12" t="s">
        <v>40</v>
      </c>
      <c r="C333" s="12" t="s">
        <v>123</v>
      </c>
      <c r="D333" s="17" t="s">
        <v>124</v>
      </c>
      <c r="E333" s="17"/>
      <c r="F333" s="13" t="n">
        <v>0</v>
      </c>
      <c r="G333" s="13" t="n">
        <v>790</v>
      </c>
      <c r="H333" s="18" t="n">
        <f aca="false">N(G333)-N(F333)</f>
        <v>790</v>
      </c>
      <c r="I333" s="13"/>
    </row>
    <row r="334" customFormat="false" ht="15" hidden="false" customHeight="false" outlineLevel="0" collapsed="false">
      <c r="B334" s="12" t="s">
        <v>40</v>
      </c>
      <c r="C334" s="12" t="s">
        <v>105</v>
      </c>
      <c r="D334" s="17" t="s">
        <v>106</v>
      </c>
      <c r="E334" s="17" t="s">
        <v>68</v>
      </c>
      <c r="F334" s="13" t="n">
        <v>32</v>
      </c>
      <c r="G334" s="13" t="n">
        <v>17</v>
      </c>
      <c r="H334" s="18" t="n">
        <f aca="false">N(G334)-N(F334)</f>
        <v>-15</v>
      </c>
      <c r="I334" s="13" t="n">
        <v>32</v>
      </c>
    </row>
    <row r="335" customFormat="false" ht="15" hidden="false" customHeight="false" outlineLevel="0" collapsed="false">
      <c r="B335" s="12" t="s">
        <v>40</v>
      </c>
      <c r="C335" s="12" t="s">
        <v>107</v>
      </c>
      <c r="D335" s="17" t="s">
        <v>108</v>
      </c>
      <c r="E335" s="17" t="s">
        <v>109</v>
      </c>
      <c r="F335" s="13" t="n">
        <v>0</v>
      </c>
      <c r="G335" s="13" t="n">
        <v>37</v>
      </c>
      <c r="H335" s="18" t="n">
        <f aca="false">N(G335)-N(F335)</f>
        <v>37</v>
      </c>
      <c r="I335" s="13" t="n">
        <v>1</v>
      </c>
    </row>
    <row r="336" customFormat="false" ht="15" hidden="false" customHeight="false" outlineLevel="0" collapsed="false">
      <c r="B336" s="12" t="s">
        <v>40</v>
      </c>
      <c r="C336" s="12" t="s">
        <v>307</v>
      </c>
      <c r="D336" s="17" t="s">
        <v>308</v>
      </c>
      <c r="E336" s="17" t="s">
        <v>68</v>
      </c>
      <c r="F336" s="13" t="n">
        <v>10</v>
      </c>
      <c r="G336" s="13" t="n">
        <v>0</v>
      </c>
      <c r="H336" s="18" t="n">
        <f aca="false">N(G336)-N(F336)</f>
        <v>-10</v>
      </c>
      <c r="I336" s="13" t="n">
        <v>10</v>
      </c>
    </row>
    <row r="337" customFormat="false" ht="15" hidden="false" customHeight="false" outlineLevel="0" collapsed="false">
      <c r="B337" s="12" t="s">
        <v>40</v>
      </c>
      <c r="C337" s="12" t="s">
        <v>537</v>
      </c>
      <c r="D337" s="17" t="s">
        <v>538</v>
      </c>
      <c r="E337" s="17" t="s">
        <v>68</v>
      </c>
      <c r="F337" s="13" t="n">
        <v>2</v>
      </c>
      <c r="G337" s="13" t="n">
        <v>2</v>
      </c>
      <c r="H337" s="18" t="n">
        <f aca="false">N(G337)-N(F337)</f>
        <v>0</v>
      </c>
      <c r="I337" s="13" t="n">
        <v>2</v>
      </c>
    </row>
    <row r="338" customFormat="false" ht="15" hidden="false" customHeight="false" outlineLevel="0" collapsed="false">
      <c r="B338" s="12" t="s">
        <v>40</v>
      </c>
      <c r="C338" s="12" t="s">
        <v>150</v>
      </c>
      <c r="D338" s="17" t="s">
        <v>151</v>
      </c>
      <c r="E338" s="17"/>
      <c r="F338" s="13" t="n">
        <v>0</v>
      </c>
      <c r="G338" s="13" t="n">
        <v>60</v>
      </c>
      <c r="H338" s="18" t="n">
        <f aca="false">N(G338)-N(F338)</f>
        <v>60</v>
      </c>
      <c r="I338" s="13"/>
    </row>
    <row r="339" customFormat="false" ht="15" hidden="false" customHeight="false" outlineLevel="0" collapsed="false">
      <c r="B339" s="12" t="s">
        <v>40</v>
      </c>
      <c r="C339" s="12" t="s">
        <v>184</v>
      </c>
      <c r="D339" s="17" t="s">
        <v>185</v>
      </c>
      <c r="E339" s="17" t="s">
        <v>68</v>
      </c>
      <c r="F339" s="13" t="n">
        <v>10</v>
      </c>
      <c r="G339" s="13" t="n">
        <v>0</v>
      </c>
      <c r="H339" s="18" t="n">
        <f aca="false">N(G339)-N(F339)</f>
        <v>-10</v>
      </c>
      <c r="I339" s="13" t="n">
        <v>10</v>
      </c>
    </row>
    <row r="340" customFormat="false" ht="15" hidden="false" customHeight="false" outlineLevel="0" collapsed="false">
      <c r="B340" s="12" t="s">
        <v>40</v>
      </c>
      <c r="C340" s="12" t="s">
        <v>404</v>
      </c>
      <c r="D340" s="17" t="s">
        <v>405</v>
      </c>
      <c r="E340" s="17"/>
      <c r="F340" s="13" t="n">
        <v>0</v>
      </c>
      <c r="G340" s="13" t="n">
        <v>3</v>
      </c>
      <c r="H340" s="18" t="n">
        <f aca="false">N(G340)-N(F340)</f>
        <v>3</v>
      </c>
      <c r="I340" s="13"/>
    </row>
    <row r="341" customFormat="false" ht="15" hidden="false" customHeight="false" outlineLevel="0" collapsed="false">
      <c r="B341" s="12" t="s">
        <v>40</v>
      </c>
      <c r="C341" s="12" t="s">
        <v>252</v>
      </c>
      <c r="D341" s="17" t="s">
        <v>253</v>
      </c>
      <c r="E341" s="17"/>
      <c r="F341" s="13" t="n">
        <v>0</v>
      </c>
      <c r="G341" s="13" t="n">
        <v>21</v>
      </c>
      <c r="H341" s="18" t="n">
        <f aca="false">N(G341)-N(F341)</f>
        <v>21</v>
      </c>
      <c r="I341" s="13"/>
    </row>
    <row r="342" customFormat="false" ht="15" hidden="false" customHeight="false" outlineLevel="0" collapsed="false">
      <c r="B342" s="12" t="s">
        <v>40</v>
      </c>
      <c r="C342" s="12" t="s">
        <v>625</v>
      </c>
      <c r="D342" s="17" t="s">
        <v>626</v>
      </c>
      <c r="E342" s="17" t="s">
        <v>68</v>
      </c>
      <c r="F342" s="13" t="n">
        <v>1</v>
      </c>
      <c r="G342" s="13" t="n">
        <v>1</v>
      </c>
      <c r="H342" s="18" t="n">
        <f aca="false">N(G342)-N(F342)</f>
        <v>0</v>
      </c>
      <c r="I342" s="13" t="n">
        <v>1</v>
      </c>
    </row>
    <row r="343" customFormat="false" ht="15" hidden="false" customHeight="false" outlineLevel="0" collapsed="false">
      <c r="B343" s="12" t="s">
        <v>40</v>
      </c>
      <c r="C343" s="12" t="s">
        <v>155</v>
      </c>
      <c r="D343" s="17" t="s">
        <v>156</v>
      </c>
      <c r="E343" s="17" t="s">
        <v>68</v>
      </c>
      <c r="F343" s="13" t="n">
        <v>1</v>
      </c>
      <c r="G343" s="13" t="n">
        <v>1</v>
      </c>
      <c r="H343" s="18" t="n">
        <f aca="false">N(G343)-N(F343)</f>
        <v>0</v>
      </c>
      <c r="I343" s="13" t="n">
        <v>2</v>
      </c>
    </row>
    <row r="344" customFormat="false" ht="15" hidden="false" customHeight="false" outlineLevel="0" collapsed="false">
      <c r="B344" s="12" t="s">
        <v>40</v>
      </c>
      <c r="C344" s="12" t="s">
        <v>361</v>
      </c>
      <c r="D344" s="17" t="s">
        <v>362</v>
      </c>
      <c r="E344" s="17"/>
      <c r="F344" s="13" t="n">
        <v>0</v>
      </c>
      <c r="G344" s="13" t="n">
        <v>17</v>
      </c>
      <c r="H344" s="18" t="n">
        <f aca="false">N(G344)-N(F344)</f>
        <v>17</v>
      </c>
      <c r="I344" s="13"/>
    </row>
    <row r="345" customFormat="false" ht="15" hidden="false" customHeight="false" outlineLevel="0" collapsed="false">
      <c r="B345" s="12" t="s">
        <v>40</v>
      </c>
      <c r="C345" s="12" t="s">
        <v>218</v>
      </c>
      <c r="D345" s="17" t="s">
        <v>219</v>
      </c>
      <c r="E345" s="17" t="s">
        <v>68</v>
      </c>
      <c r="F345" s="13" t="n">
        <v>7</v>
      </c>
      <c r="G345" s="13" t="n">
        <v>7</v>
      </c>
      <c r="H345" s="18" t="n">
        <f aca="false">N(G345)-N(F345)</f>
        <v>0</v>
      </c>
      <c r="I345" s="13" t="n">
        <v>7</v>
      </c>
    </row>
    <row r="346" customFormat="false" ht="15" hidden="false" customHeight="false" outlineLevel="0" collapsed="false">
      <c r="B346" s="12" t="s">
        <v>40</v>
      </c>
      <c r="C346" s="12" t="s">
        <v>221</v>
      </c>
      <c r="D346" s="17" t="s">
        <v>222</v>
      </c>
      <c r="E346" s="17" t="s">
        <v>68</v>
      </c>
      <c r="F346" s="13" t="n">
        <v>0</v>
      </c>
      <c r="G346" s="13" t="n">
        <v>0</v>
      </c>
      <c r="H346" s="18" t="n">
        <f aca="false">N(G346)-N(F346)</f>
        <v>0</v>
      </c>
      <c r="I346" s="13" t="n">
        <v>1</v>
      </c>
    </row>
    <row r="347" customFormat="false" ht="15" hidden="false" customHeight="false" outlineLevel="0" collapsed="false">
      <c r="B347" s="12" t="s">
        <v>40</v>
      </c>
      <c r="C347" s="12" t="s">
        <v>545</v>
      </c>
      <c r="D347" s="17" t="s">
        <v>546</v>
      </c>
      <c r="E347" s="17"/>
      <c r="F347" s="13" t="n">
        <v>0</v>
      </c>
      <c r="G347" s="13" t="n">
        <v>1</v>
      </c>
      <c r="H347" s="18" t="n">
        <f aca="false">N(G347)-N(F347)</f>
        <v>1</v>
      </c>
      <c r="I347" s="13"/>
    </row>
    <row r="348" customFormat="false" ht="15" hidden="false" customHeight="false" outlineLevel="0" collapsed="false">
      <c r="B348" s="12" t="s">
        <v>40</v>
      </c>
      <c r="C348" s="12" t="s">
        <v>159</v>
      </c>
      <c r="D348" s="17" t="s">
        <v>160</v>
      </c>
      <c r="E348" s="17" t="s">
        <v>68</v>
      </c>
      <c r="F348" s="13" t="n">
        <v>54</v>
      </c>
      <c r="G348" s="13" t="n">
        <v>24</v>
      </c>
      <c r="H348" s="18" t="n">
        <f aca="false">N(G348)-N(F348)</f>
        <v>-30</v>
      </c>
      <c r="I348" s="13" t="n">
        <v>54</v>
      </c>
    </row>
    <row r="349" customFormat="false" ht="15" hidden="false" customHeight="false" outlineLevel="0" collapsed="false">
      <c r="B349" s="12" t="s">
        <v>40</v>
      </c>
      <c r="C349" s="12" t="s">
        <v>440</v>
      </c>
      <c r="D349" s="17" t="s">
        <v>441</v>
      </c>
      <c r="E349" s="17"/>
      <c r="F349" s="13" t="n">
        <v>0</v>
      </c>
      <c r="G349" s="13" t="n">
        <v>1</v>
      </c>
      <c r="H349" s="18" t="n">
        <f aca="false">N(G349)-N(F349)</f>
        <v>1</v>
      </c>
      <c r="I349" s="13"/>
    </row>
    <row r="350" customFormat="false" ht="15" hidden="false" customHeight="false" outlineLevel="0" collapsed="false">
      <c r="B350" s="12" t="s">
        <v>40</v>
      </c>
      <c r="C350" s="12" t="s">
        <v>407</v>
      </c>
      <c r="D350" s="17" t="s">
        <v>408</v>
      </c>
      <c r="E350" s="17"/>
      <c r="F350" s="13" t="n">
        <v>0</v>
      </c>
      <c r="G350" s="13" t="n">
        <v>87</v>
      </c>
      <c r="H350" s="18" t="n">
        <f aca="false">N(G350)-N(F350)</f>
        <v>87</v>
      </c>
      <c r="I350" s="13"/>
    </row>
    <row r="351" customFormat="false" ht="15" hidden="false" customHeight="false" outlineLevel="0" collapsed="false">
      <c r="B351" s="12" t="s">
        <v>40</v>
      </c>
      <c r="C351" s="12" t="s">
        <v>125</v>
      </c>
      <c r="D351" s="17" t="s">
        <v>126</v>
      </c>
      <c r="E351" s="17"/>
      <c r="F351" s="13" t="n">
        <v>0</v>
      </c>
      <c r="G351" s="13" t="n">
        <v>10</v>
      </c>
      <c r="H351" s="18" t="n">
        <f aca="false">N(G351)-N(F351)</f>
        <v>10</v>
      </c>
      <c r="I351" s="13"/>
    </row>
    <row r="352" customFormat="false" ht="15" hidden="false" customHeight="false" outlineLevel="0" collapsed="false">
      <c r="B352" s="12" t="s">
        <v>40</v>
      </c>
      <c r="C352" s="12" t="s">
        <v>127</v>
      </c>
      <c r="D352" s="17" t="s">
        <v>128</v>
      </c>
      <c r="E352" s="17"/>
      <c r="F352" s="13" t="n">
        <v>0</v>
      </c>
      <c r="G352" s="13" t="n">
        <v>68</v>
      </c>
      <c r="H352" s="18" t="n">
        <f aca="false">N(G352)-N(F352)</f>
        <v>68</v>
      </c>
      <c r="I352" s="13"/>
    </row>
    <row r="353" customFormat="false" ht="15" hidden="false" customHeight="false" outlineLevel="0" collapsed="false">
      <c r="B353" s="12" t="s">
        <v>40</v>
      </c>
      <c r="C353" s="12" t="s">
        <v>258</v>
      </c>
      <c r="D353" s="17" t="s">
        <v>259</v>
      </c>
      <c r="E353" s="17" t="s">
        <v>68</v>
      </c>
      <c r="F353" s="13" t="n">
        <v>27</v>
      </c>
      <c r="G353" s="13" t="n">
        <v>27</v>
      </c>
      <c r="H353" s="18" t="n">
        <f aca="false">N(G353)-N(F353)</f>
        <v>0</v>
      </c>
      <c r="I353" s="13" t="n">
        <v>27</v>
      </c>
    </row>
    <row r="354" customFormat="false" ht="15" hidden="false" customHeight="false" outlineLevel="0" collapsed="false">
      <c r="B354" s="12" t="s">
        <v>40</v>
      </c>
      <c r="C354" s="12" t="s">
        <v>260</v>
      </c>
      <c r="D354" s="17" t="s">
        <v>261</v>
      </c>
      <c r="E354" s="17"/>
      <c r="F354" s="13" t="n">
        <v>10</v>
      </c>
      <c r="G354" s="13" t="n">
        <v>0</v>
      </c>
      <c r="H354" s="18" t="n">
        <f aca="false">N(G354)-N(F354)</f>
        <v>-10</v>
      </c>
      <c r="I354" s="13"/>
    </row>
    <row r="355" customFormat="false" ht="15" hidden="false" customHeight="false" outlineLevel="0" collapsed="false">
      <c r="B355" s="12" t="s">
        <v>40</v>
      </c>
      <c r="C355" s="12" t="s">
        <v>224</v>
      </c>
      <c r="D355" s="17" t="s">
        <v>225</v>
      </c>
      <c r="E355" s="17"/>
      <c r="F355" s="13" t="n">
        <v>0</v>
      </c>
      <c r="G355" s="13" t="n">
        <v>11</v>
      </c>
      <c r="H355" s="18" t="n">
        <f aca="false">N(G355)-N(F355)</f>
        <v>11</v>
      </c>
      <c r="I355" s="13"/>
    </row>
    <row r="356" customFormat="false" ht="15" hidden="false" customHeight="false" outlineLevel="0" collapsed="false">
      <c r="B356" s="12" t="s">
        <v>40</v>
      </c>
      <c r="C356" s="12" t="s">
        <v>277</v>
      </c>
      <c r="D356" s="17" t="s">
        <v>278</v>
      </c>
      <c r="E356" s="17"/>
      <c r="F356" s="13" t="n">
        <v>11</v>
      </c>
      <c r="G356" s="13" t="n">
        <v>14</v>
      </c>
      <c r="H356" s="18" t="n">
        <f aca="false">N(G356)-N(F356)</f>
        <v>3</v>
      </c>
      <c r="I356" s="13"/>
    </row>
    <row r="357" customFormat="false" ht="15" hidden="false" customHeight="false" outlineLevel="0" collapsed="false">
      <c r="B357" s="12" t="s">
        <v>40</v>
      </c>
      <c r="C357" s="12" t="s">
        <v>161</v>
      </c>
      <c r="D357" s="17" t="s">
        <v>162</v>
      </c>
      <c r="E357" s="17" t="s">
        <v>94</v>
      </c>
      <c r="F357" s="13" t="n">
        <v>89</v>
      </c>
      <c r="G357" s="13" t="n">
        <v>30</v>
      </c>
      <c r="H357" s="18" t="n">
        <f aca="false">N(G357)-N(F357)</f>
        <v>-59</v>
      </c>
      <c r="I357" s="13" t="n">
        <v>79.7872</v>
      </c>
    </row>
    <row r="358" customFormat="false" ht="15" hidden="false" customHeight="false" outlineLevel="0" collapsed="false">
      <c r="B358" s="12" t="s">
        <v>40</v>
      </c>
      <c r="C358" s="12" t="s">
        <v>263</v>
      </c>
      <c r="D358" s="17" t="s">
        <v>264</v>
      </c>
      <c r="E358" s="17" t="s">
        <v>68</v>
      </c>
      <c r="F358" s="13" t="n">
        <v>27</v>
      </c>
      <c r="G358" s="13" t="n">
        <v>27</v>
      </c>
      <c r="H358" s="18" t="n">
        <f aca="false">N(G358)-N(F358)</f>
        <v>0</v>
      </c>
      <c r="I358" s="13" t="n">
        <v>27</v>
      </c>
    </row>
    <row r="359" customFormat="false" ht="15" hidden="false" customHeight="false" outlineLevel="0" collapsed="false">
      <c r="B359" s="12" t="s">
        <v>40</v>
      </c>
      <c r="C359" s="12" t="s">
        <v>265</v>
      </c>
      <c r="D359" s="17" t="s">
        <v>266</v>
      </c>
      <c r="E359" s="17" t="s">
        <v>68</v>
      </c>
      <c r="F359" s="13" t="n">
        <v>1</v>
      </c>
      <c r="G359" s="13" t="n">
        <v>1</v>
      </c>
      <c r="H359" s="18" t="n">
        <f aca="false">N(G359)-N(F359)</f>
        <v>0</v>
      </c>
      <c r="I359" s="13" t="n">
        <v>1</v>
      </c>
    </row>
    <row r="360" customFormat="false" ht="15" hidden="false" customHeight="false" outlineLevel="0" collapsed="false">
      <c r="B360" s="12" t="s">
        <v>40</v>
      </c>
      <c r="C360" s="12" t="s">
        <v>547</v>
      </c>
      <c r="D360" s="17" t="s">
        <v>548</v>
      </c>
      <c r="E360" s="17"/>
      <c r="F360" s="13" t="n">
        <v>0</v>
      </c>
      <c r="G360" s="13" t="n">
        <v>1</v>
      </c>
      <c r="H360" s="18" t="n">
        <f aca="false">N(G360)-N(F360)</f>
        <v>1</v>
      </c>
      <c r="I360" s="13"/>
    </row>
    <row r="361" customFormat="false" ht="15" hidden="false" customHeight="false" outlineLevel="0" collapsed="false">
      <c r="B361" s="12" t="s">
        <v>40</v>
      </c>
      <c r="C361" s="12" t="s">
        <v>226</v>
      </c>
      <c r="D361" s="17" t="s">
        <v>227</v>
      </c>
      <c r="E361" s="17" t="s">
        <v>68</v>
      </c>
      <c r="F361" s="13" t="n">
        <v>7</v>
      </c>
      <c r="G361" s="13" t="n">
        <v>7</v>
      </c>
      <c r="H361" s="18" t="n">
        <f aca="false">N(G361)-N(F361)</f>
        <v>0</v>
      </c>
      <c r="I361" s="13" t="n">
        <v>7</v>
      </c>
    </row>
    <row r="362" customFormat="false" ht="15" hidden="false" customHeight="false" outlineLevel="0" collapsed="false">
      <c r="B362" s="12" t="s">
        <v>41</v>
      </c>
      <c r="C362" s="12" t="s">
        <v>66</v>
      </c>
      <c r="D362" s="17" t="s">
        <v>67</v>
      </c>
      <c r="E362" s="17"/>
      <c r="F362" s="13" t="n">
        <v>17</v>
      </c>
      <c r="G362" s="13" t="n">
        <v>18</v>
      </c>
      <c r="H362" s="18" t="n">
        <f aca="false">N(G362)-N(F362)</f>
        <v>1</v>
      </c>
      <c r="I362" s="13"/>
    </row>
    <row r="363" customFormat="false" ht="15" hidden="false" customHeight="false" outlineLevel="0" collapsed="false">
      <c r="B363" s="12" t="s">
        <v>41</v>
      </c>
      <c r="C363" s="12" t="s">
        <v>187</v>
      </c>
      <c r="D363" s="17" t="s">
        <v>188</v>
      </c>
      <c r="E363" s="17" t="s">
        <v>68</v>
      </c>
      <c r="F363" s="13" t="n">
        <v>10</v>
      </c>
      <c r="G363" s="13" t="n">
        <v>1</v>
      </c>
      <c r="H363" s="18" t="n">
        <f aca="false">N(G363)-N(F363)</f>
        <v>-9</v>
      </c>
      <c r="I363" s="13" t="n">
        <v>10</v>
      </c>
    </row>
    <row r="364" customFormat="false" ht="15" hidden="false" customHeight="false" outlineLevel="0" collapsed="false">
      <c r="B364" s="12" t="s">
        <v>41</v>
      </c>
      <c r="C364" s="12" t="s">
        <v>383</v>
      </c>
      <c r="D364" s="17" t="s">
        <v>384</v>
      </c>
      <c r="E364" s="17" t="s">
        <v>68</v>
      </c>
      <c r="F364" s="13" t="n">
        <v>15</v>
      </c>
      <c r="G364" s="13" t="n">
        <v>8</v>
      </c>
      <c r="H364" s="18" t="n">
        <f aca="false">N(G364)-N(F364)</f>
        <v>-7</v>
      </c>
      <c r="I364" s="13" t="n">
        <v>15</v>
      </c>
    </row>
    <row r="365" customFormat="false" ht="15" hidden="false" customHeight="false" outlineLevel="0" collapsed="false">
      <c r="B365" s="12" t="s">
        <v>41</v>
      </c>
      <c r="C365" s="12" t="s">
        <v>228</v>
      </c>
      <c r="D365" s="17" t="s">
        <v>229</v>
      </c>
      <c r="E365" s="17" t="s">
        <v>68</v>
      </c>
      <c r="F365" s="13" t="n">
        <v>24</v>
      </c>
      <c r="G365" s="13" t="n">
        <v>24</v>
      </c>
      <c r="H365" s="18" t="n">
        <f aca="false">N(G365)-N(F365)</f>
        <v>0</v>
      </c>
      <c r="I365" s="13" t="n">
        <v>24</v>
      </c>
    </row>
    <row r="366" customFormat="false" ht="15" hidden="false" customHeight="false" outlineLevel="0" collapsed="false">
      <c r="B366" s="12" t="s">
        <v>41</v>
      </c>
      <c r="C366" s="12" t="s">
        <v>268</v>
      </c>
      <c r="D366" s="17" t="s">
        <v>269</v>
      </c>
      <c r="E366" s="17"/>
      <c r="F366" s="13" t="n">
        <v>8</v>
      </c>
      <c r="G366" s="13" t="n">
        <v>5</v>
      </c>
      <c r="H366" s="18" t="n">
        <f aca="false">N(G366)-N(F366)</f>
        <v>-3</v>
      </c>
      <c r="I366" s="13"/>
    </row>
    <row r="367" customFormat="false" ht="15" hidden="false" customHeight="false" outlineLevel="0" collapsed="false">
      <c r="B367" s="12" t="s">
        <v>41</v>
      </c>
      <c r="C367" s="12" t="s">
        <v>271</v>
      </c>
      <c r="D367" s="17" t="s">
        <v>272</v>
      </c>
      <c r="E367" s="17"/>
      <c r="F367" s="13" t="n">
        <v>4</v>
      </c>
      <c r="G367" s="13" t="n">
        <v>4</v>
      </c>
      <c r="H367" s="18" t="n">
        <f aca="false">N(G367)-N(F367)</f>
        <v>0</v>
      </c>
      <c r="I367" s="13"/>
    </row>
    <row r="368" customFormat="false" ht="15" hidden="false" customHeight="false" outlineLevel="0" collapsed="false">
      <c r="B368" s="12" t="s">
        <v>41</v>
      </c>
      <c r="C368" s="12" t="s">
        <v>282</v>
      </c>
      <c r="D368" s="17" t="s">
        <v>283</v>
      </c>
      <c r="E368" s="17"/>
      <c r="F368" s="13" t="n">
        <v>100</v>
      </c>
      <c r="G368" s="13" t="n">
        <v>4</v>
      </c>
      <c r="H368" s="18" t="n">
        <f aca="false">N(G368)-N(F368)</f>
        <v>-96</v>
      </c>
      <c r="I368" s="13"/>
    </row>
    <row r="369" customFormat="false" ht="15" hidden="false" customHeight="false" outlineLevel="0" collapsed="false">
      <c r="B369" s="12" t="s">
        <v>41</v>
      </c>
      <c r="C369" s="12" t="s">
        <v>386</v>
      </c>
      <c r="D369" s="17" t="s">
        <v>387</v>
      </c>
      <c r="E369" s="17" t="s">
        <v>68</v>
      </c>
      <c r="F369" s="13" t="n">
        <v>0</v>
      </c>
      <c r="G369" s="13" t="n">
        <v>0</v>
      </c>
      <c r="H369" s="18" t="n">
        <f aca="false">N(G369)-N(F369)</f>
        <v>0</v>
      </c>
      <c r="I369" s="13" t="n">
        <v>1</v>
      </c>
    </row>
    <row r="370" customFormat="false" ht="15" hidden="false" customHeight="false" outlineLevel="0" collapsed="false">
      <c r="B370" s="12" t="s">
        <v>41</v>
      </c>
      <c r="C370" s="12" t="s">
        <v>129</v>
      </c>
      <c r="D370" s="17" t="s">
        <v>130</v>
      </c>
      <c r="E370" s="17"/>
      <c r="F370" s="13" t="n">
        <v>60</v>
      </c>
      <c r="G370" s="13" t="n">
        <v>53</v>
      </c>
      <c r="H370" s="18" t="n">
        <f aca="false">N(G370)-N(F370)</f>
        <v>-7</v>
      </c>
      <c r="I370" s="13"/>
    </row>
    <row r="371" customFormat="false" ht="15" hidden="false" customHeight="false" outlineLevel="0" collapsed="false">
      <c r="B371" s="12" t="s">
        <v>41</v>
      </c>
      <c r="C371" s="12" t="s">
        <v>231</v>
      </c>
      <c r="D371" s="17" t="s">
        <v>232</v>
      </c>
      <c r="E371" s="17"/>
      <c r="F371" s="13" t="n">
        <v>0</v>
      </c>
      <c r="G371" s="13" t="n">
        <v>3</v>
      </c>
      <c r="H371" s="18" t="n">
        <f aca="false">N(G371)-N(F371)</f>
        <v>3</v>
      </c>
      <c r="I371" s="13"/>
    </row>
    <row r="372" customFormat="false" ht="15" hidden="false" customHeight="false" outlineLevel="0" collapsed="false">
      <c r="B372" s="12" t="s">
        <v>41</v>
      </c>
      <c r="C372" s="12" t="s">
        <v>285</v>
      </c>
      <c r="D372" s="17" t="s">
        <v>286</v>
      </c>
      <c r="E372" s="17"/>
      <c r="F372" s="13" t="n">
        <v>30</v>
      </c>
      <c r="G372" s="13" t="n">
        <v>37</v>
      </c>
      <c r="H372" s="18" t="n">
        <f aca="false">N(G372)-N(F372)</f>
        <v>7</v>
      </c>
      <c r="I372" s="13"/>
    </row>
    <row r="373" customFormat="false" ht="15" hidden="false" customHeight="false" outlineLevel="0" collapsed="false">
      <c r="B373" s="12" t="s">
        <v>41</v>
      </c>
      <c r="C373" s="12" t="s">
        <v>70</v>
      </c>
      <c r="D373" s="17" t="s">
        <v>71</v>
      </c>
      <c r="E373" s="17" t="s">
        <v>68</v>
      </c>
      <c r="F373" s="13" t="n">
        <v>110</v>
      </c>
      <c r="G373" s="13" t="n">
        <v>188</v>
      </c>
      <c r="H373" s="18" t="n">
        <f aca="false">N(G373)-N(F373)</f>
        <v>78</v>
      </c>
      <c r="I373" s="13" t="n">
        <v>110</v>
      </c>
    </row>
    <row r="374" customFormat="false" ht="15" hidden="false" customHeight="false" outlineLevel="0" collapsed="false">
      <c r="B374" s="12" t="s">
        <v>41</v>
      </c>
      <c r="C374" s="12" t="s">
        <v>72</v>
      </c>
      <c r="D374" s="17" t="s">
        <v>73</v>
      </c>
      <c r="E374" s="17"/>
      <c r="F374" s="13" t="n">
        <v>52</v>
      </c>
      <c r="G374" s="13" t="n">
        <v>52</v>
      </c>
      <c r="H374" s="18" t="n">
        <f aca="false">N(G374)-N(F374)</f>
        <v>0</v>
      </c>
      <c r="I374" s="13"/>
    </row>
    <row r="375" customFormat="false" ht="15" hidden="false" customHeight="false" outlineLevel="0" collapsed="false">
      <c r="B375" s="12" t="s">
        <v>41</v>
      </c>
      <c r="C375" s="12" t="s">
        <v>413</v>
      </c>
      <c r="D375" s="17" t="s">
        <v>414</v>
      </c>
      <c r="E375" s="17"/>
      <c r="F375" s="13" t="n">
        <v>20</v>
      </c>
      <c r="G375" s="13" t="n">
        <v>2</v>
      </c>
      <c r="H375" s="18" t="n">
        <f aca="false">N(G375)-N(F375)</f>
        <v>-18</v>
      </c>
      <c r="I375" s="13"/>
    </row>
    <row r="376" customFormat="false" ht="15" hidden="false" customHeight="false" outlineLevel="0" collapsed="false">
      <c r="B376" s="12" t="s">
        <v>41</v>
      </c>
      <c r="C376" s="12" t="s">
        <v>74</v>
      </c>
      <c r="D376" s="17" t="s">
        <v>75</v>
      </c>
      <c r="E376" s="17" t="s">
        <v>68</v>
      </c>
      <c r="F376" s="13" t="n">
        <v>26</v>
      </c>
      <c r="G376" s="13" t="n">
        <v>26</v>
      </c>
      <c r="H376" s="18" t="n">
        <f aca="false">N(G376)-N(F376)</f>
        <v>0</v>
      </c>
      <c r="I376" s="13" t="n">
        <v>26</v>
      </c>
    </row>
    <row r="377" customFormat="false" ht="15" hidden="false" customHeight="false" outlineLevel="0" collapsed="false">
      <c r="B377" s="12" t="s">
        <v>41</v>
      </c>
      <c r="C377" s="12" t="s">
        <v>164</v>
      </c>
      <c r="D377" s="17" t="s">
        <v>165</v>
      </c>
      <c r="E377" s="17"/>
      <c r="F377" s="13" t="n">
        <v>25</v>
      </c>
      <c r="G377" s="13" t="n">
        <v>25</v>
      </c>
      <c r="H377" s="18" t="n">
        <f aca="false">N(G377)-N(F377)</f>
        <v>0</v>
      </c>
      <c r="I377" s="13"/>
    </row>
    <row r="378" customFormat="false" ht="15" hidden="false" customHeight="false" outlineLevel="0" collapsed="false">
      <c r="B378" s="12" t="s">
        <v>41</v>
      </c>
      <c r="C378" s="12" t="s">
        <v>167</v>
      </c>
      <c r="D378" s="17" t="s">
        <v>168</v>
      </c>
      <c r="E378" s="17" t="s">
        <v>68</v>
      </c>
      <c r="F378" s="13" t="n">
        <v>10</v>
      </c>
      <c r="G378" s="13" t="n">
        <v>0</v>
      </c>
      <c r="H378" s="18" t="n">
        <f aca="false">N(G378)-N(F378)</f>
        <v>-10</v>
      </c>
      <c r="I378" s="13" t="n">
        <v>20</v>
      </c>
    </row>
    <row r="379" customFormat="false" ht="15" hidden="false" customHeight="false" outlineLevel="0" collapsed="false">
      <c r="B379" s="12" t="s">
        <v>41</v>
      </c>
      <c r="C379" s="12" t="s">
        <v>76</v>
      </c>
      <c r="D379" s="17" t="s">
        <v>77</v>
      </c>
      <c r="E379" s="17" t="s">
        <v>68</v>
      </c>
      <c r="F379" s="13" t="n">
        <v>225</v>
      </c>
      <c r="G379" s="13" t="n">
        <v>160</v>
      </c>
      <c r="H379" s="18" t="n">
        <f aca="false">N(G379)-N(F379)</f>
        <v>-65</v>
      </c>
      <c r="I379" s="13" t="n">
        <v>225</v>
      </c>
    </row>
    <row r="380" customFormat="false" ht="15" hidden="false" customHeight="false" outlineLevel="0" collapsed="false">
      <c r="B380" s="12" t="s">
        <v>41</v>
      </c>
      <c r="C380" s="12" t="s">
        <v>78</v>
      </c>
      <c r="D380" s="17" t="s">
        <v>79</v>
      </c>
      <c r="E380" s="17" t="s">
        <v>68</v>
      </c>
      <c r="F380" s="13" t="n">
        <v>142</v>
      </c>
      <c r="G380" s="13" t="n">
        <v>313</v>
      </c>
      <c r="H380" s="18" t="n">
        <f aca="false">N(G380)-N(F380)</f>
        <v>171</v>
      </c>
      <c r="I380" s="13" t="n">
        <v>142</v>
      </c>
    </row>
    <row r="381" customFormat="false" ht="15" hidden="false" customHeight="false" outlineLevel="0" collapsed="false">
      <c r="B381" s="12" t="s">
        <v>41</v>
      </c>
      <c r="C381" s="12" t="s">
        <v>80</v>
      </c>
      <c r="D381" s="17" t="s">
        <v>81</v>
      </c>
      <c r="E381" s="17" t="s">
        <v>68</v>
      </c>
      <c r="F381" s="13" t="n">
        <v>330</v>
      </c>
      <c r="G381" s="13" t="n">
        <v>553</v>
      </c>
      <c r="H381" s="18" t="n">
        <f aca="false">N(G381)-N(F381)</f>
        <v>223</v>
      </c>
      <c r="I381" s="13" t="n">
        <v>330</v>
      </c>
    </row>
    <row r="382" customFormat="false" ht="15" hidden="false" customHeight="false" outlineLevel="0" collapsed="false">
      <c r="B382" s="12" t="s">
        <v>41</v>
      </c>
      <c r="C382" s="12" t="s">
        <v>82</v>
      </c>
      <c r="D382" s="17" t="s">
        <v>83</v>
      </c>
      <c r="E382" s="17" t="s">
        <v>68</v>
      </c>
      <c r="F382" s="13" t="n">
        <v>34</v>
      </c>
      <c r="G382" s="13" t="n">
        <v>5</v>
      </c>
      <c r="H382" s="18" t="n">
        <f aca="false">N(G382)-N(F382)</f>
        <v>-29</v>
      </c>
      <c r="I382" s="13" t="n">
        <v>34</v>
      </c>
    </row>
    <row r="383" customFormat="false" ht="15" hidden="false" customHeight="false" outlineLevel="0" collapsed="false">
      <c r="B383" s="12" t="s">
        <v>41</v>
      </c>
      <c r="C383" s="12" t="s">
        <v>316</v>
      </c>
      <c r="D383" s="17" t="s">
        <v>317</v>
      </c>
      <c r="E383" s="17"/>
      <c r="F383" s="13" t="n">
        <v>100</v>
      </c>
      <c r="G383" s="13" t="n">
        <v>48</v>
      </c>
      <c r="H383" s="18" t="n">
        <f aca="false">N(G383)-N(F383)</f>
        <v>-52</v>
      </c>
      <c r="I383" s="13"/>
    </row>
    <row r="384" customFormat="false" ht="15" hidden="false" customHeight="false" outlineLevel="0" collapsed="false">
      <c r="B384" s="12" t="s">
        <v>41</v>
      </c>
      <c r="C384" s="12" t="s">
        <v>449</v>
      </c>
      <c r="D384" s="17" t="s">
        <v>450</v>
      </c>
      <c r="E384" s="17"/>
      <c r="F384" s="13" t="n">
        <v>0</v>
      </c>
      <c r="G384" s="13" t="n">
        <v>118</v>
      </c>
      <c r="H384" s="18" t="n">
        <f aca="false">N(G384)-N(F384)</f>
        <v>118</v>
      </c>
      <c r="I384" s="13"/>
    </row>
    <row r="385" customFormat="false" ht="15" hidden="false" customHeight="false" outlineLevel="0" collapsed="false">
      <c r="B385" s="12" t="s">
        <v>41</v>
      </c>
      <c r="C385" s="12" t="s">
        <v>190</v>
      </c>
      <c r="D385" s="17" t="s">
        <v>191</v>
      </c>
      <c r="E385" s="17"/>
      <c r="F385" s="13" t="n">
        <v>0</v>
      </c>
      <c r="G385" s="13" t="n">
        <v>3</v>
      </c>
      <c r="H385" s="18" t="n">
        <f aca="false">N(G385)-N(F385)</f>
        <v>3</v>
      </c>
      <c r="I385" s="13"/>
    </row>
    <row r="386" customFormat="false" ht="15" hidden="false" customHeight="false" outlineLevel="0" collapsed="false">
      <c r="B386" s="12" t="s">
        <v>41</v>
      </c>
      <c r="C386" s="12" t="s">
        <v>84</v>
      </c>
      <c r="D386" s="17" t="s">
        <v>85</v>
      </c>
      <c r="E386" s="17" t="s">
        <v>68</v>
      </c>
      <c r="F386" s="13" t="n">
        <v>50</v>
      </c>
      <c r="G386" s="13" t="n">
        <v>23</v>
      </c>
      <c r="H386" s="18" t="n">
        <f aca="false">N(G386)-N(F386)</f>
        <v>-27</v>
      </c>
      <c r="I386" s="13" t="n">
        <v>50</v>
      </c>
    </row>
    <row r="387" customFormat="false" ht="15" hidden="false" customHeight="false" outlineLevel="0" collapsed="false">
      <c r="B387" s="12" t="s">
        <v>41</v>
      </c>
      <c r="C387" s="12" t="s">
        <v>193</v>
      </c>
      <c r="D387" s="17" t="s">
        <v>194</v>
      </c>
      <c r="E387" s="17" t="s">
        <v>68</v>
      </c>
      <c r="F387" s="13" t="n">
        <v>6</v>
      </c>
      <c r="G387" s="13" t="n">
        <v>6</v>
      </c>
      <c r="H387" s="18" t="n">
        <f aca="false">N(G387)-N(F387)</f>
        <v>0</v>
      </c>
      <c r="I387" s="13" t="n">
        <v>6</v>
      </c>
    </row>
    <row r="388" customFormat="false" ht="15" hidden="false" customHeight="false" outlineLevel="0" collapsed="false">
      <c r="B388" s="12" t="s">
        <v>41</v>
      </c>
      <c r="C388" s="12" t="s">
        <v>86</v>
      </c>
      <c r="D388" s="17" t="s">
        <v>87</v>
      </c>
      <c r="E388" s="17" t="s">
        <v>68</v>
      </c>
      <c r="F388" s="13" t="n">
        <v>73</v>
      </c>
      <c r="G388" s="13" t="n">
        <v>55</v>
      </c>
      <c r="H388" s="18" t="n">
        <f aca="false">N(G388)-N(F388)</f>
        <v>-18</v>
      </c>
      <c r="I388" s="13" t="n">
        <v>73</v>
      </c>
    </row>
    <row r="389" customFormat="false" ht="15" hidden="false" customHeight="false" outlineLevel="0" collapsed="false">
      <c r="B389" s="12" t="s">
        <v>41</v>
      </c>
      <c r="C389" s="12" t="s">
        <v>132</v>
      </c>
      <c r="D389" s="17" t="s">
        <v>133</v>
      </c>
      <c r="E389" s="17" t="s">
        <v>68</v>
      </c>
      <c r="F389" s="13" t="n">
        <v>72</v>
      </c>
      <c r="G389" s="13" t="n">
        <v>99</v>
      </c>
      <c r="H389" s="18" t="n">
        <f aca="false">N(G389)-N(F389)</f>
        <v>27</v>
      </c>
      <c r="I389" s="13" t="n">
        <v>72</v>
      </c>
    </row>
    <row r="390" customFormat="false" ht="15" hidden="false" customHeight="false" outlineLevel="0" collapsed="false">
      <c r="B390" s="12" t="s">
        <v>41</v>
      </c>
      <c r="C390" s="12" t="s">
        <v>294</v>
      </c>
      <c r="D390" s="17" t="s">
        <v>295</v>
      </c>
      <c r="E390" s="17"/>
      <c r="F390" s="13" t="n">
        <v>4</v>
      </c>
      <c r="G390" s="13" t="n">
        <v>4</v>
      </c>
      <c r="H390" s="18" t="n">
        <f aca="false">N(G390)-N(F390)</f>
        <v>0</v>
      </c>
      <c r="I390" s="13"/>
    </row>
    <row r="391" customFormat="false" ht="15" hidden="false" customHeight="false" outlineLevel="0" collapsed="false">
      <c r="B391" s="12" t="s">
        <v>41</v>
      </c>
      <c r="C391" s="12" t="s">
        <v>196</v>
      </c>
      <c r="D391" s="17" t="s">
        <v>197</v>
      </c>
      <c r="E391" s="17" t="s">
        <v>68</v>
      </c>
      <c r="F391" s="13" t="n">
        <v>6</v>
      </c>
      <c r="G391" s="13" t="n">
        <v>6</v>
      </c>
      <c r="H391" s="18" t="n">
        <f aca="false">N(G391)-N(F391)</f>
        <v>0</v>
      </c>
      <c r="I391" s="13" t="n">
        <v>6</v>
      </c>
    </row>
    <row r="392" customFormat="false" ht="15" hidden="false" customHeight="false" outlineLevel="0" collapsed="false">
      <c r="B392" s="12" t="s">
        <v>41</v>
      </c>
      <c r="C392" s="12" t="s">
        <v>110</v>
      </c>
      <c r="D392" s="17" t="s">
        <v>111</v>
      </c>
      <c r="E392" s="17" t="s">
        <v>68</v>
      </c>
      <c r="F392" s="13" t="n">
        <v>90</v>
      </c>
      <c r="G392" s="13" t="n">
        <v>85</v>
      </c>
      <c r="H392" s="18" t="n">
        <f aca="false">N(G392)-N(F392)</f>
        <v>-5</v>
      </c>
      <c r="I392" s="13" t="n">
        <v>90</v>
      </c>
    </row>
    <row r="393" customFormat="false" ht="15" hidden="false" customHeight="false" outlineLevel="0" collapsed="false">
      <c r="B393" s="12" t="s">
        <v>41</v>
      </c>
      <c r="C393" s="12" t="s">
        <v>135</v>
      </c>
      <c r="D393" s="17" t="s">
        <v>136</v>
      </c>
      <c r="E393" s="17" t="s">
        <v>94</v>
      </c>
      <c r="F393" s="13" t="n">
        <v>5500</v>
      </c>
      <c r="G393" s="13" t="n">
        <v>5735</v>
      </c>
      <c r="H393" s="18" t="n">
        <f aca="false">N(G393)-N(F393)</f>
        <v>235</v>
      </c>
      <c r="I393" s="13" t="n">
        <v>5743.4979</v>
      </c>
    </row>
    <row r="394" customFormat="false" ht="15" hidden="false" customHeight="false" outlineLevel="0" collapsed="false">
      <c r="B394" s="12" t="s">
        <v>41</v>
      </c>
      <c r="C394" s="12" t="s">
        <v>577</v>
      </c>
      <c r="D394" s="17" t="s">
        <v>578</v>
      </c>
      <c r="E394" s="17" t="s">
        <v>68</v>
      </c>
      <c r="F394" s="13" t="n">
        <v>0</v>
      </c>
      <c r="G394" s="13" t="n">
        <v>1</v>
      </c>
      <c r="H394" s="18" t="n">
        <f aca="false">N(G394)-N(F394)</f>
        <v>1</v>
      </c>
      <c r="I394" s="13" t="n">
        <v>1</v>
      </c>
    </row>
    <row r="395" customFormat="false" ht="15" hidden="false" customHeight="false" outlineLevel="0" collapsed="false">
      <c r="B395" s="12" t="s">
        <v>41</v>
      </c>
      <c r="C395" s="12" t="s">
        <v>297</v>
      </c>
      <c r="D395" s="17" t="s">
        <v>298</v>
      </c>
      <c r="E395" s="17" t="s">
        <v>68</v>
      </c>
      <c r="F395" s="13" t="n">
        <v>35</v>
      </c>
      <c r="G395" s="13" t="n">
        <v>32</v>
      </c>
      <c r="H395" s="18" t="n">
        <f aca="false">N(G395)-N(F395)</f>
        <v>-3</v>
      </c>
      <c r="I395" s="13" t="n">
        <v>35</v>
      </c>
    </row>
    <row r="396" customFormat="false" ht="15" hidden="false" customHeight="false" outlineLevel="0" collapsed="false">
      <c r="B396" s="12" t="s">
        <v>41</v>
      </c>
      <c r="C396" s="12" t="s">
        <v>170</v>
      </c>
      <c r="D396" s="17" t="s">
        <v>171</v>
      </c>
      <c r="E396" s="17"/>
      <c r="F396" s="13" t="n">
        <v>0</v>
      </c>
      <c r="G396" s="13" t="n">
        <v>36</v>
      </c>
      <c r="H396" s="18" t="n">
        <f aca="false">N(G396)-N(F396)</f>
        <v>36</v>
      </c>
      <c r="I396" s="13"/>
    </row>
    <row r="397" customFormat="false" ht="15" hidden="false" customHeight="false" outlineLevel="0" collapsed="false">
      <c r="B397" s="12" t="s">
        <v>41</v>
      </c>
      <c r="C397" s="12" t="s">
        <v>198</v>
      </c>
      <c r="D397" s="17" t="s">
        <v>199</v>
      </c>
      <c r="E397" s="17" t="s">
        <v>68</v>
      </c>
      <c r="F397" s="13" t="n">
        <v>30</v>
      </c>
      <c r="G397" s="13" t="n">
        <v>26</v>
      </c>
      <c r="H397" s="18" t="n">
        <f aca="false">N(G397)-N(F397)</f>
        <v>-4</v>
      </c>
      <c r="I397" s="13" t="n">
        <v>50</v>
      </c>
    </row>
    <row r="398" customFormat="false" ht="15" hidden="false" customHeight="false" outlineLevel="0" collapsed="false">
      <c r="B398" s="12" t="s">
        <v>41</v>
      </c>
      <c r="C398" s="12" t="s">
        <v>88</v>
      </c>
      <c r="D398" s="17" t="s">
        <v>89</v>
      </c>
      <c r="E398" s="17" t="s">
        <v>68</v>
      </c>
      <c r="F398" s="13" t="n">
        <v>40</v>
      </c>
      <c r="G398" s="13" t="n">
        <v>76</v>
      </c>
      <c r="H398" s="18" t="n">
        <f aca="false">N(G398)-N(F398)</f>
        <v>36</v>
      </c>
      <c r="I398" s="13" t="n">
        <v>40</v>
      </c>
    </row>
    <row r="399" customFormat="false" ht="15" hidden="false" customHeight="false" outlineLevel="0" collapsed="false">
      <c r="B399" s="12" t="s">
        <v>41</v>
      </c>
      <c r="C399" s="12" t="s">
        <v>90</v>
      </c>
      <c r="D399" s="17" t="s">
        <v>91</v>
      </c>
      <c r="E399" s="17" t="s">
        <v>68</v>
      </c>
      <c r="F399" s="13" t="n">
        <v>23</v>
      </c>
      <c r="G399" s="13" t="n">
        <v>22</v>
      </c>
      <c r="H399" s="18" t="n">
        <f aca="false">N(G399)-N(F399)</f>
        <v>-1</v>
      </c>
      <c r="I399" s="13" t="n">
        <v>23</v>
      </c>
    </row>
    <row r="400" customFormat="false" ht="15" hidden="false" customHeight="false" outlineLevel="0" collapsed="false">
      <c r="B400" s="12" t="s">
        <v>41</v>
      </c>
      <c r="C400" s="12" t="s">
        <v>452</v>
      </c>
      <c r="D400" s="17" t="s">
        <v>453</v>
      </c>
      <c r="E400" s="17" t="s">
        <v>68</v>
      </c>
      <c r="F400" s="13" t="n">
        <v>20</v>
      </c>
      <c r="G400" s="13" t="n">
        <v>2</v>
      </c>
      <c r="H400" s="18" t="n">
        <f aca="false">N(G400)-N(F400)</f>
        <v>-18</v>
      </c>
      <c r="I400" s="13" t="n">
        <v>20</v>
      </c>
    </row>
    <row r="401" customFormat="false" ht="15" hidden="false" customHeight="false" outlineLevel="0" collapsed="false">
      <c r="B401" s="12" t="s">
        <v>41</v>
      </c>
      <c r="C401" s="12" t="s">
        <v>92</v>
      </c>
      <c r="D401" s="17" t="s">
        <v>93</v>
      </c>
      <c r="E401" s="17"/>
      <c r="F401" s="13" t="n">
        <v>0</v>
      </c>
      <c r="G401" s="13" t="n">
        <v>845</v>
      </c>
      <c r="H401" s="18" t="n">
        <f aca="false">N(G401)-N(F401)</f>
        <v>845</v>
      </c>
      <c r="I401" s="13"/>
    </row>
    <row r="402" customFormat="false" ht="15" hidden="false" customHeight="false" outlineLevel="0" collapsed="false">
      <c r="B402" s="12" t="s">
        <v>41</v>
      </c>
      <c r="C402" s="12" t="s">
        <v>300</v>
      </c>
      <c r="D402" s="17" t="s">
        <v>301</v>
      </c>
      <c r="E402" s="17"/>
      <c r="F402" s="13" t="n">
        <v>0</v>
      </c>
      <c r="G402" s="13" t="n">
        <v>8</v>
      </c>
      <c r="H402" s="18" t="n">
        <f aca="false">N(G402)-N(F402)</f>
        <v>8</v>
      </c>
      <c r="I402" s="13"/>
    </row>
    <row r="403" customFormat="false" ht="15" hidden="false" customHeight="false" outlineLevel="0" collapsed="false">
      <c r="B403" s="12" t="s">
        <v>41</v>
      </c>
      <c r="C403" s="12" t="s">
        <v>240</v>
      </c>
      <c r="D403" s="17" t="s">
        <v>241</v>
      </c>
      <c r="E403" s="17" t="s">
        <v>94</v>
      </c>
      <c r="F403" s="13" t="n">
        <v>4200</v>
      </c>
      <c r="G403" s="13" t="n">
        <v>4844</v>
      </c>
      <c r="H403" s="18" t="n">
        <f aca="false">N(G403)-N(F403)</f>
        <v>644</v>
      </c>
      <c r="I403" s="13" t="n">
        <v>5900.7478</v>
      </c>
    </row>
    <row r="404" customFormat="false" ht="15" hidden="false" customHeight="false" outlineLevel="0" collapsed="false">
      <c r="B404" s="12" t="s">
        <v>41</v>
      </c>
      <c r="C404" s="12" t="s">
        <v>95</v>
      </c>
      <c r="D404" s="17" t="s">
        <v>96</v>
      </c>
      <c r="E404" s="17"/>
      <c r="F404" s="13" t="n">
        <v>2</v>
      </c>
      <c r="G404" s="13" t="n">
        <v>0</v>
      </c>
      <c r="H404" s="18" t="n">
        <f aca="false">N(G404)-N(F404)</f>
        <v>-2</v>
      </c>
      <c r="I404" s="13"/>
    </row>
    <row r="405" customFormat="false" ht="15" hidden="false" customHeight="false" outlineLevel="0" collapsed="false">
      <c r="B405" s="12" t="s">
        <v>41</v>
      </c>
      <c r="C405" s="12" t="s">
        <v>97</v>
      </c>
      <c r="D405" s="17" t="s">
        <v>98</v>
      </c>
      <c r="E405" s="17" t="s">
        <v>68</v>
      </c>
      <c r="F405" s="13" t="n">
        <v>280</v>
      </c>
      <c r="G405" s="13" t="n">
        <v>191</v>
      </c>
      <c r="H405" s="18" t="n">
        <f aca="false">N(G405)-N(F405)</f>
        <v>-89</v>
      </c>
      <c r="I405" s="13" t="n">
        <v>280</v>
      </c>
    </row>
    <row r="406" customFormat="false" ht="15" hidden="false" customHeight="false" outlineLevel="0" collapsed="false">
      <c r="B406" s="12" t="s">
        <v>41</v>
      </c>
      <c r="C406" s="12" t="s">
        <v>327</v>
      </c>
      <c r="D406" s="17" t="s">
        <v>328</v>
      </c>
      <c r="E406" s="17" t="s">
        <v>68</v>
      </c>
      <c r="F406" s="13" t="n">
        <v>3</v>
      </c>
      <c r="G406" s="13" t="n">
        <v>3</v>
      </c>
      <c r="H406" s="18" t="n">
        <f aca="false">N(G406)-N(F406)</f>
        <v>0</v>
      </c>
      <c r="I406" s="13" t="n">
        <v>3</v>
      </c>
    </row>
    <row r="407" customFormat="false" ht="15" hidden="false" customHeight="false" outlineLevel="0" collapsed="false">
      <c r="B407" s="12" t="s">
        <v>41</v>
      </c>
      <c r="C407" s="12" t="s">
        <v>138</v>
      </c>
      <c r="D407" s="17" t="s">
        <v>139</v>
      </c>
      <c r="E407" s="17" t="s">
        <v>68</v>
      </c>
      <c r="F407" s="13" t="n">
        <v>6</v>
      </c>
      <c r="G407" s="13" t="n">
        <v>6</v>
      </c>
      <c r="H407" s="18" t="n">
        <f aca="false">N(G407)-N(F407)</f>
        <v>0</v>
      </c>
      <c r="I407" s="13" t="n">
        <v>6</v>
      </c>
    </row>
    <row r="408" customFormat="false" ht="15" hidden="false" customHeight="false" outlineLevel="0" collapsed="false">
      <c r="B408" s="12" t="s">
        <v>41</v>
      </c>
      <c r="C408" s="12" t="s">
        <v>366</v>
      </c>
      <c r="D408" s="17" t="s">
        <v>367</v>
      </c>
      <c r="E408" s="17"/>
      <c r="F408" s="13" t="n">
        <v>0</v>
      </c>
      <c r="G408" s="13" t="n">
        <v>1</v>
      </c>
      <c r="H408" s="18" t="n">
        <f aca="false">N(G408)-N(F408)</f>
        <v>1</v>
      </c>
      <c r="I408" s="13"/>
    </row>
    <row r="409" customFormat="false" ht="15" hidden="false" customHeight="false" outlineLevel="0" collapsed="false">
      <c r="B409" s="12" t="s">
        <v>41</v>
      </c>
      <c r="C409" s="12" t="s">
        <v>429</v>
      </c>
      <c r="D409" s="17" t="s">
        <v>430</v>
      </c>
      <c r="E409" s="17" t="s">
        <v>68</v>
      </c>
      <c r="F409" s="13" t="n">
        <v>0</v>
      </c>
      <c r="G409" s="13" t="n">
        <v>0</v>
      </c>
      <c r="H409" s="18" t="n">
        <f aca="false">N(G409)-N(F409)</f>
        <v>0</v>
      </c>
      <c r="I409" s="13" t="n">
        <v>70</v>
      </c>
    </row>
    <row r="410" customFormat="false" ht="15" hidden="false" customHeight="false" outlineLevel="0" collapsed="false">
      <c r="B410" s="12" t="s">
        <v>41</v>
      </c>
      <c r="C410" s="12" t="s">
        <v>113</v>
      </c>
      <c r="D410" s="17" t="s">
        <v>114</v>
      </c>
      <c r="E410" s="17" t="s">
        <v>68</v>
      </c>
      <c r="F410" s="13" t="n">
        <v>36</v>
      </c>
      <c r="G410" s="13" t="n">
        <v>71</v>
      </c>
      <c r="H410" s="18" t="n">
        <f aca="false">N(G410)-N(F410)</f>
        <v>35</v>
      </c>
      <c r="I410" s="13" t="n">
        <v>36</v>
      </c>
    </row>
    <row r="411" customFormat="false" ht="15" hidden="false" customHeight="false" outlineLevel="0" collapsed="false">
      <c r="B411" s="12" t="s">
        <v>41</v>
      </c>
      <c r="C411" s="12" t="s">
        <v>115</v>
      </c>
      <c r="D411" s="17" t="s">
        <v>116</v>
      </c>
      <c r="E411" s="17" t="s">
        <v>68</v>
      </c>
      <c r="F411" s="13" t="n">
        <v>0</v>
      </c>
      <c r="G411" s="13" t="n">
        <v>0</v>
      </c>
      <c r="H411" s="18" t="n">
        <f aca="false">N(G411)-N(F411)</f>
        <v>0</v>
      </c>
      <c r="I411" s="13" t="n">
        <v>1</v>
      </c>
    </row>
    <row r="412" customFormat="false" ht="15" hidden="false" customHeight="false" outlineLevel="0" collapsed="false">
      <c r="B412" s="12" t="s">
        <v>41</v>
      </c>
      <c r="C412" s="12" t="s">
        <v>118</v>
      </c>
      <c r="D412" s="17" t="s">
        <v>119</v>
      </c>
      <c r="E412" s="17" t="s">
        <v>68</v>
      </c>
      <c r="F412" s="13" t="n">
        <v>9</v>
      </c>
      <c r="G412" s="13" t="n">
        <v>15</v>
      </c>
      <c r="H412" s="18" t="n">
        <f aca="false">N(G412)-N(F412)</f>
        <v>6</v>
      </c>
      <c r="I412" s="13" t="n">
        <v>9</v>
      </c>
    </row>
    <row r="413" customFormat="false" ht="15" hidden="false" customHeight="false" outlineLevel="0" collapsed="false">
      <c r="B413" s="12" t="s">
        <v>41</v>
      </c>
      <c r="C413" s="12" t="s">
        <v>334</v>
      </c>
      <c r="D413" s="17" t="s">
        <v>335</v>
      </c>
      <c r="E413" s="17" t="s">
        <v>68</v>
      </c>
      <c r="F413" s="13" t="n">
        <v>6</v>
      </c>
      <c r="G413" s="13" t="n">
        <v>6</v>
      </c>
      <c r="H413" s="18" t="n">
        <f aca="false">N(G413)-N(F413)</f>
        <v>0</v>
      </c>
      <c r="I413" s="13" t="n">
        <v>71</v>
      </c>
    </row>
    <row r="414" customFormat="false" ht="15" hidden="false" customHeight="false" outlineLevel="0" collapsed="false">
      <c r="B414" s="12" t="s">
        <v>41</v>
      </c>
      <c r="C414" s="12" t="s">
        <v>204</v>
      </c>
      <c r="D414" s="17" t="s">
        <v>205</v>
      </c>
      <c r="E414" s="17" t="s">
        <v>68</v>
      </c>
      <c r="F414" s="13" t="n">
        <v>14</v>
      </c>
      <c r="G414" s="13" t="n">
        <v>13</v>
      </c>
      <c r="H414" s="18" t="n">
        <f aca="false">N(G414)-N(F414)</f>
        <v>-1</v>
      </c>
      <c r="I414" s="13" t="n">
        <v>14</v>
      </c>
    </row>
    <row r="415" customFormat="false" ht="15" hidden="false" customHeight="false" outlineLevel="0" collapsed="false">
      <c r="B415" s="12" t="s">
        <v>41</v>
      </c>
      <c r="C415" s="12" t="s">
        <v>99</v>
      </c>
      <c r="D415" s="17" t="s">
        <v>100</v>
      </c>
      <c r="E415" s="17" t="s">
        <v>68</v>
      </c>
      <c r="F415" s="13" t="n">
        <v>52</v>
      </c>
      <c r="G415" s="13" t="n">
        <v>56</v>
      </c>
      <c r="H415" s="18" t="n">
        <f aca="false">N(G415)-N(F415)</f>
        <v>4</v>
      </c>
      <c r="I415" s="13" t="n">
        <v>15</v>
      </c>
    </row>
    <row r="416" customFormat="false" ht="15" hidden="false" customHeight="false" outlineLevel="0" collapsed="false">
      <c r="B416" s="12" t="s">
        <v>41</v>
      </c>
      <c r="C416" s="12" t="s">
        <v>173</v>
      </c>
      <c r="D416" s="17" t="s">
        <v>174</v>
      </c>
      <c r="E416" s="17" t="s">
        <v>68</v>
      </c>
      <c r="F416" s="13" t="n">
        <v>34</v>
      </c>
      <c r="G416" s="13" t="n">
        <v>32</v>
      </c>
      <c r="H416" s="18" t="n">
        <f aca="false">N(G416)-N(F416)</f>
        <v>-2</v>
      </c>
      <c r="I416" s="13" t="n">
        <v>34</v>
      </c>
    </row>
    <row r="417" customFormat="false" ht="15" hidden="false" customHeight="false" outlineLevel="0" collapsed="false">
      <c r="B417" s="12" t="s">
        <v>41</v>
      </c>
      <c r="C417" s="12" t="s">
        <v>101</v>
      </c>
      <c r="D417" s="17" t="s">
        <v>102</v>
      </c>
      <c r="E417" s="17" t="s">
        <v>68</v>
      </c>
      <c r="F417" s="13" t="n">
        <v>40</v>
      </c>
      <c r="G417" s="13" t="n">
        <v>39</v>
      </c>
      <c r="H417" s="18" t="n">
        <f aca="false">N(G417)-N(F417)</f>
        <v>-1</v>
      </c>
      <c r="I417" s="13" t="n">
        <v>72</v>
      </c>
    </row>
    <row r="418" customFormat="false" ht="15" hidden="false" customHeight="false" outlineLevel="0" collapsed="false">
      <c r="B418" s="12" t="s">
        <v>41</v>
      </c>
      <c r="C418" s="12" t="s">
        <v>121</v>
      </c>
      <c r="D418" s="17" t="s">
        <v>122</v>
      </c>
      <c r="E418" s="17" t="s">
        <v>68</v>
      </c>
      <c r="F418" s="13" t="n">
        <v>42</v>
      </c>
      <c r="G418" s="13" t="n">
        <v>37</v>
      </c>
      <c r="H418" s="18" t="n">
        <f aca="false">N(G418)-N(F418)</f>
        <v>-5</v>
      </c>
      <c r="I418" s="13" t="n">
        <v>42</v>
      </c>
    </row>
    <row r="419" customFormat="false" ht="15" hidden="false" customHeight="false" outlineLevel="0" collapsed="false">
      <c r="B419" s="12" t="s">
        <v>41</v>
      </c>
      <c r="C419" s="12" t="s">
        <v>245</v>
      </c>
      <c r="D419" s="17" t="s">
        <v>246</v>
      </c>
      <c r="E419" s="17" t="s">
        <v>68</v>
      </c>
      <c r="F419" s="13" t="n">
        <v>10</v>
      </c>
      <c r="G419" s="13" t="n">
        <v>6</v>
      </c>
      <c r="H419" s="18" t="n">
        <f aca="false">N(G419)-N(F419)</f>
        <v>-4</v>
      </c>
      <c r="I419" s="13" t="n">
        <v>10</v>
      </c>
    </row>
    <row r="420" customFormat="false" ht="15" hidden="false" customHeight="false" outlineLevel="0" collapsed="false">
      <c r="B420" s="12" t="s">
        <v>41</v>
      </c>
      <c r="C420" s="12" t="s">
        <v>141</v>
      </c>
      <c r="D420" s="17" t="s">
        <v>142</v>
      </c>
      <c r="E420" s="17" t="s">
        <v>68</v>
      </c>
      <c r="F420" s="13" t="n">
        <v>20</v>
      </c>
      <c r="G420" s="13" t="n">
        <v>13</v>
      </c>
      <c r="H420" s="18" t="n">
        <f aca="false">N(G420)-N(F420)</f>
        <v>-7</v>
      </c>
      <c r="I420" s="13" t="n">
        <v>20</v>
      </c>
    </row>
    <row r="421" customFormat="false" ht="15" hidden="false" customHeight="false" outlineLevel="0" collapsed="false">
      <c r="B421" s="12" t="s">
        <v>41</v>
      </c>
      <c r="C421" s="12" t="s">
        <v>207</v>
      </c>
      <c r="D421" s="17" t="s">
        <v>208</v>
      </c>
      <c r="E421" s="17" t="s">
        <v>68</v>
      </c>
      <c r="F421" s="13" t="n">
        <v>10</v>
      </c>
      <c r="G421" s="13" t="n">
        <v>8</v>
      </c>
      <c r="H421" s="18" t="n">
        <f aca="false">N(G421)-N(F421)</f>
        <v>-2</v>
      </c>
      <c r="I421" s="13" t="n">
        <v>10</v>
      </c>
    </row>
    <row r="422" customFormat="false" ht="15" hidden="false" customHeight="false" outlineLevel="0" collapsed="false">
      <c r="B422" s="12" t="s">
        <v>41</v>
      </c>
      <c r="C422" s="12" t="s">
        <v>248</v>
      </c>
      <c r="D422" s="17" t="s">
        <v>133</v>
      </c>
      <c r="E422" s="17" t="s">
        <v>68</v>
      </c>
      <c r="F422" s="13" t="n">
        <v>5</v>
      </c>
      <c r="G422" s="13" t="n">
        <v>5</v>
      </c>
      <c r="H422" s="18" t="n">
        <f aca="false">N(G422)-N(F422)</f>
        <v>0</v>
      </c>
      <c r="I422" s="13" t="n">
        <v>5</v>
      </c>
    </row>
    <row r="423" customFormat="false" ht="15" hidden="false" customHeight="false" outlineLevel="0" collapsed="false">
      <c r="B423" s="12" t="s">
        <v>41</v>
      </c>
      <c r="C423" s="12" t="s">
        <v>210</v>
      </c>
      <c r="D423" s="17" t="s">
        <v>211</v>
      </c>
      <c r="E423" s="17" t="s">
        <v>68</v>
      </c>
      <c r="F423" s="13" t="n">
        <v>25</v>
      </c>
      <c r="G423" s="13" t="n">
        <v>25</v>
      </c>
      <c r="H423" s="18" t="n">
        <f aca="false">N(G423)-N(F423)</f>
        <v>0</v>
      </c>
      <c r="I423" s="13" t="n">
        <v>25</v>
      </c>
    </row>
    <row r="424" customFormat="false" ht="15" hidden="false" customHeight="false" outlineLevel="0" collapsed="false">
      <c r="B424" s="12" t="s">
        <v>41</v>
      </c>
      <c r="C424" s="12" t="s">
        <v>176</v>
      </c>
      <c r="D424" s="17" t="s">
        <v>177</v>
      </c>
      <c r="E424" s="17" t="s">
        <v>68</v>
      </c>
      <c r="F424" s="13" t="n">
        <v>15</v>
      </c>
      <c r="G424" s="13" t="n">
        <v>21</v>
      </c>
      <c r="H424" s="18" t="n">
        <f aca="false">N(G424)-N(F424)</f>
        <v>6</v>
      </c>
      <c r="I424" s="13" t="n">
        <v>15</v>
      </c>
    </row>
    <row r="425" customFormat="false" ht="15" hidden="false" customHeight="false" outlineLevel="0" collapsed="false">
      <c r="B425" s="12" t="s">
        <v>41</v>
      </c>
      <c r="C425" s="12" t="s">
        <v>212</v>
      </c>
      <c r="D425" s="17" t="s">
        <v>213</v>
      </c>
      <c r="E425" s="17"/>
      <c r="F425" s="13" t="n">
        <v>23</v>
      </c>
      <c r="G425" s="13" t="n">
        <v>43</v>
      </c>
      <c r="H425" s="18" t="n">
        <f aca="false">N(G425)-N(F425)</f>
        <v>20</v>
      </c>
      <c r="I425" s="13"/>
    </row>
    <row r="426" customFormat="false" ht="15" hidden="false" customHeight="false" outlineLevel="0" collapsed="false">
      <c r="B426" s="12" t="s">
        <v>41</v>
      </c>
      <c r="C426" s="12" t="s">
        <v>103</v>
      </c>
      <c r="D426" s="17" t="s">
        <v>104</v>
      </c>
      <c r="E426" s="17" t="s">
        <v>68</v>
      </c>
      <c r="F426" s="13" t="n">
        <v>302</v>
      </c>
      <c r="G426" s="13" t="n">
        <v>383</v>
      </c>
      <c r="H426" s="18" t="n">
        <f aca="false">N(G426)-N(F426)</f>
        <v>81</v>
      </c>
      <c r="I426" s="13" t="n">
        <v>302</v>
      </c>
    </row>
    <row r="427" customFormat="false" ht="15" hidden="false" customHeight="false" outlineLevel="0" collapsed="false">
      <c r="B427" s="12" t="s">
        <v>41</v>
      </c>
      <c r="C427" s="12" t="s">
        <v>215</v>
      </c>
      <c r="D427" s="17" t="s">
        <v>216</v>
      </c>
      <c r="E427" s="17" t="s">
        <v>68</v>
      </c>
      <c r="F427" s="13" t="n">
        <v>0</v>
      </c>
      <c r="G427" s="13" t="n">
        <v>2</v>
      </c>
      <c r="H427" s="18" t="n">
        <f aca="false">N(G427)-N(F427)</f>
        <v>2</v>
      </c>
      <c r="I427" s="13" t="n">
        <v>2</v>
      </c>
    </row>
    <row r="428" customFormat="false" ht="15" hidden="false" customHeight="false" outlineLevel="0" collapsed="false">
      <c r="B428" s="12" t="s">
        <v>41</v>
      </c>
      <c r="C428" s="12" t="s">
        <v>434</v>
      </c>
      <c r="D428" s="17" t="s">
        <v>435</v>
      </c>
      <c r="E428" s="17"/>
      <c r="F428" s="13" t="n">
        <v>0</v>
      </c>
      <c r="G428" s="13" t="n">
        <v>2</v>
      </c>
      <c r="H428" s="18" t="n">
        <f aca="false">N(G428)-N(F428)</f>
        <v>2</v>
      </c>
      <c r="I428" s="13"/>
    </row>
    <row r="429" customFormat="false" ht="15" hidden="false" customHeight="false" outlineLevel="0" collapsed="false">
      <c r="B429" s="12" t="s">
        <v>41</v>
      </c>
      <c r="C429" s="12" t="s">
        <v>179</v>
      </c>
      <c r="D429" s="17" t="s">
        <v>180</v>
      </c>
      <c r="E429" s="17" t="s">
        <v>68</v>
      </c>
      <c r="F429" s="13" t="n">
        <v>8</v>
      </c>
      <c r="G429" s="13" t="n">
        <v>7</v>
      </c>
      <c r="H429" s="18" t="n">
        <f aca="false">N(G429)-N(F429)</f>
        <v>-1</v>
      </c>
      <c r="I429" s="13" t="n">
        <v>8</v>
      </c>
    </row>
    <row r="430" customFormat="false" ht="15" hidden="false" customHeight="false" outlineLevel="0" collapsed="false">
      <c r="B430" s="12" t="s">
        <v>41</v>
      </c>
      <c r="C430" s="12" t="s">
        <v>143</v>
      </c>
      <c r="D430" s="17" t="s">
        <v>144</v>
      </c>
      <c r="E430" s="17" t="s">
        <v>68</v>
      </c>
      <c r="F430" s="13" t="n">
        <v>1</v>
      </c>
      <c r="G430" s="13" t="n">
        <v>1</v>
      </c>
      <c r="H430" s="18" t="n">
        <f aca="false">N(G430)-N(F430)</f>
        <v>0</v>
      </c>
      <c r="I430" s="13" t="n">
        <v>1</v>
      </c>
    </row>
    <row r="431" customFormat="false" ht="15" hidden="false" customHeight="false" outlineLevel="0" collapsed="false">
      <c r="B431" s="12" t="s">
        <v>41</v>
      </c>
      <c r="C431" s="12" t="s">
        <v>146</v>
      </c>
      <c r="D431" s="17" t="s">
        <v>147</v>
      </c>
      <c r="E431" s="17" t="s">
        <v>68</v>
      </c>
      <c r="F431" s="13" t="n">
        <v>31</v>
      </c>
      <c r="G431" s="13" t="n">
        <v>18</v>
      </c>
      <c r="H431" s="18" t="n">
        <f aca="false">N(G431)-N(F431)</f>
        <v>-13</v>
      </c>
      <c r="I431" s="13" t="n">
        <v>31</v>
      </c>
    </row>
    <row r="432" customFormat="false" ht="15" hidden="false" customHeight="false" outlineLevel="0" collapsed="false">
      <c r="B432" s="12" t="s">
        <v>41</v>
      </c>
      <c r="C432" s="12" t="s">
        <v>182</v>
      </c>
      <c r="D432" s="17" t="s">
        <v>183</v>
      </c>
      <c r="E432" s="17" t="s">
        <v>68</v>
      </c>
      <c r="F432" s="13" t="n">
        <v>17</v>
      </c>
      <c r="G432" s="13" t="n">
        <v>15</v>
      </c>
      <c r="H432" s="18" t="n">
        <f aca="false">N(G432)-N(F432)</f>
        <v>-2</v>
      </c>
      <c r="I432" s="13" t="n">
        <v>17</v>
      </c>
    </row>
    <row r="433" customFormat="false" ht="15" hidden="false" customHeight="false" outlineLevel="0" collapsed="false">
      <c r="B433" s="12" t="s">
        <v>41</v>
      </c>
      <c r="C433" s="12" t="s">
        <v>372</v>
      </c>
      <c r="D433" s="17" t="s">
        <v>373</v>
      </c>
      <c r="E433" s="17"/>
      <c r="F433" s="13" t="n">
        <v>4</v>
      </c>
      <c r="G433" s="13" t="n">
        <v>4</v>
      </c>
      <c r="H433" s="18" t="n">
        <f aca="false">N(G433)-N(F433)</f>
        <v>0</v>
      </c>
      <c r="I433" s="13"/>
    </row>
    <row r="434" customFormat="false" ht="15" hidden="false" customHeight="false" outlineLevel="0" collapsed="false">
      <c r="B434" s="12" t="s">
        <v>41</v>
      </c>
      <c r="C434" s="12" t="s">
        <v>613</v>
      </c>
      <c r="D434" s="17" t="s">
        <v>614</v>
      </c>
      <c r="E434" s="17"/>
      <c r="F434" s="13" t="n">
        <v>18</v>
      </c>
      <c r="G434" s="13" t="n">
        <v>0</v>
      </c>
      <c r="H434" s="18" t="n">
        <f aca="false">N(G434)-N(F434)</f>
        <v>-18</v>
      </c>
      <c r="I434" s="13"/>
    </row>
    <row r="435" customFormat="false" ht="15" hidden="false" customHeight="false" outlineLevel="0" collapsed="false">
      <c r="B435" s="12" t="s">
        <v>41</v>
      </c>
      <c r="C435" s="12" t="s">
        <v>250</v>
      </c>
      <c r="D435" s="17" t="s">
        <v>251</v>
      </c>
      <c r="E435" s="17"/>
      <c r="F435" s="13" t="n">
        <v>0</v>
      </c>
      <c r="G435" s="13" t="n">
        <v>25</v>
      </c>
      <c r="H435" s="18" t="n">
        <f aca="false">N(G435)-N(F435)</f>
        <v>25</v>
      </c>
      <c r="I435" s="13"/>
    </row>
    <row r="436" customFormat="false" ht="15" hidden="false" customHeight="false" outlineLevel="0" collapsed="false">
      <c r="B436" s="12" t="s">
        <v>41</v>
      </c>
      <c r="C436" s="12" t="s">
        <v>148</v>
      </c>
      <c r="D436" s="17" t="s">
        <v>149</v>
      </c>
      <c r="E436" s="17" t="s">
        <v>68</v>
      </c>
      <c r="F436" s="13" t="n">
        <v>48</v>
      </c>
      <c r="G436" s="13" t="n">
        <v>26</v>
      </c>
      <c r="H436" s="18" t="n">
        <f aca="false">N(G436)-N(F436)</f>
        <v>-22</v>
      </c>
      <c r="I436" s="13" t="n">
        <v>48</v>
      </c>
    </row>
    <row r="437" customFormat="false" ht="15" hidden="false" customHeight="false" outlineLevel="0" collapsed="false">
      <c r="B437" s="12" t="s">
        <v>41</v>
      </c>
      <c r="C437" s="12" t="s">
        <v>345</v>
      </c>
      <c r="D437" s="17" t="s">
        <v>346</v>
      </c>
      <c r="E437" s="17"/>
      <c r="F437" s="13" t="n">
        <v>12</v>
      </c>
      <c r="G437" s="13" t="n">
        <v>12</v>
      </c>
      <c r="H437" s="18" t="n">
        <f aca="false">N(G437)-N(F437)</f>
        <v>0</v>
      </c>
      <c r="I437" s="13"/>
    </row>
    <row r="438" customFormat="false" ht="15" hidden="false" customHeight="false" outlineLevel="0" collapsed="false">
      <c r="B438" s="12" t="s">
        <v>41</v>
      </c>
      <c r="C438" s="12" t="s">
        <v>123</v>
      </c>
      <c r="D438" s="17" t="s">
        <v>124</v>
      </c>
      <c r="E438" s="17"/>
      <c r="F438" s="13" t="n">
        <v>0</v>
      </c>
      <c r="G438" s="13" t="n">
        <v>291</v>
      </c>
      <c r="H438" s="18" t="n">
        <f aca="false">N(G438)-N(F438)</f>
        <v>291</v>
      </c>
      <c r="I438" s="13"/>
    </row>
    <row r="439" customFormat="false" ht="15" hidden="false" customHeight="false" outlineLevel="0" collapsed="false">
      <c r="B439" s="12" t="s">
        <v>41</v>
      </c>
      <c r="C439" s="12" t="s">
        <v>352</v>
      </c>
      <c r="D439" s="17" t="s">
        <v>353</v>
      </c>
      <c r="E439" s="17" t="s">
        <v>68</v>
      </c>
      <c r="F439" s="13" t="n">
        <v>12</v>
      </c>
      <c r="G439" s="13" t="n">
        <v>12</v>
      </c>
      <c r="H439" s="18" t="n">
        <f aca="false">N(G439)-N(F439)</f>
        <v>0</v>
      </c>
      <c r="I439" s="13" t="n">
        <v>12</v>
      </c>
    </row>
    <row r="440" customFormat="false" ht="15" hidden="false" customHeight="false" outlineLevel="0" collapsed="false">
      <c r="B440" s="12" t="s">
        <v>41</v>
      </c>
      <c r="C440" s="12" t="s">
        <v>105</v>
      </c>
      <c r="D440" s="17" t="s">
        <v>106</v>
      </c>
      <c r="E440" s="17" t="s">
        <v>68</v>
      </c>
      <c r="F440" s="13" t="n">
        <v>33</v>
      </c>
      <c r="G440" s="13" t="n">
        <v>5</v>
      </c>
      <c r="H440" s="18" t="n">
        <f aca="false">N(G440)-N(F440)</f>
        <v>-28</v>
      </c>
      <c r="I440" s="13" t="n">
        <v>33</v>
      </c>
    </row>
    <row r="441" customFormat="false" ht="15" hidden="false" customHeight="false" outlineLevel="0" collapsed="false">
      <c r="B441" s="12" t="s">
        <v>41</v>
      </c>
      <c r="C441" s="12" t="s">
        <v>107</v>
      </c>
      <c r="D441" s="17" t="s">
        <v>108</v>
      </c>
      <c r="E441" s="17"/>
      <c r="F441" s="13" t="n">
        <v>13</v>
      </c>
      <c r="G441" s="13" t="n">
        <v>13</v>
      </c>
      <c r="H441" s="18" t="n">
        <f aca="false">N(G441)-N(F441)</f>
        <v>0</v>
      </c>
      <c r="I441" s="13"/>
    </row>
    <row r="442" customFormat="false" ht="15" hidden="false" customHeight="false" outlineLevel="0" collapsed="false">
      <c r="B442" s="12" t="s">
        <v>41</v>
      </c>
      <c r="C442" s="12" t="s">
        <v>356</v>
      </c>
      <c r="D442" s="17" t="s">
        <v>357</v>
      </c>
      <c r="E442" s="17" t="s">
        <v>68</v>
      </c>
      <c r="F442" s="13" t="n">
        <v>3</v>
      </c>
      <c r="G442" s="13" t="n">
        <v>3</v>
      </c>
      <c r="H442" s="18" t="n">
        <f aca="false">N(G442)-N(F442)</f>
        <v>0</v>
      </c>
      <c r="I442" s="13" t="n">
        <v>4</v>
      </c>
    </row>
    <row r="443" customFormat="false" ht="15" hidden="false" customHeight="false" outlineLevel="0" collapsed="false">
      <c r="B443" s="12" t="s">
        <v>41</v>
      </c>
      <c r="C443" s="12" t="s">
        <v>150</v>
      </c>
      <c r="D443" s="17" t="s">
        <v>151</v>
      </c>
      <c r="E443" s="17" t="s">
        <v>68</v>
      </c>
      <c r="F443" s="13" t="n">
        <v>24</v>
      </c>
      <c r="G443" s="13" t="n">
        <v>13</v>
      </c>
      <c r="H443" s="18" t="n">
        <f aca="false">N(G443)-N(F443)</f>
        <v>-11</v>
      </c>
      <c r="I443" s="13" t="n">
        <v>24</v>
      </c>
    </row>
    <row r="444" customFormat="false" ht="15" hidden="false" customHeight="false" outlineLevel="0" collapsed="false">
      <c r="B444" s="12" t="s">
        <v>41</v>
      </c>
      <c r="C444" s="12" t="s">
        <v>184</v>
      </c>
      <c r="D444" s="17" t="s">
        <v>185</v>
      </c>
      <c r="E444" s="17" t="s">
        <v>68</v>
      </c>
      <c r="F444" s="13" t="n">
        <v>8</v>
      </c>
      <c r="G444" s="13" t="n">
        <v>7</v>
      </c>
      <c r="H444" s="18" t="n">
        <f aca="false">N(G444)-N(F444)</f>
        <v>-1</v>
      </c>
      <c r="I444" s="13" t="n">
        <v>8</v>
      </c>
    </row>
    <row r="445" customFormat="false" ht="15" hidden="false" customHeight="false" outlineLevel="0" collapsed="false">
      <c r="B445" s="12" t="s">
        <v>41</v>
      </c>
      <c r="C445" s="12" t="s">
        <v>404</v>
      </c>
      <c r="D445" s="17" t="s">
        <v>405</v>
      </c>
      <c r="E445" s="17" t="s">
        <v>68</v>
      </c>
      <c r="F445" s="13" t="n">
        <v>20</v>
      </c>
      <c r="G445" s="13" t="n">
        <v>3</v>
      </c>
      <c r="H445" s="18" t="n">
        <f aca="false">N(G445)-N(F445)</f>
        <v>-17</v>
      </c>
      <c r="I445" s="13" t="n">
        <v>20</v>
      </c>
    </row>
    <row r="446" customFormat="false" ht="15" hidden="false" customHeight="false" outlineLevel="0" collapsed="false">
      <c r="B446" s="12" t="s">
        <v>41</v>
      </c>
      <c r="C446" s="12" t="s">
        <v>252</v>
      </c>
      <c r="D446" s="17" t="s">
        <v>253</v>
      </c>
      <c r="E446" s="17"/>
      <c r="F446" s="13" t="n">
        <v>0</v>
      </c>
      <c r="G446" s="13" t="n">
        <v>27</v>
      </c>
      <c r="H446" s="18" t="n">
        <f aca="false">N(G446)-N(F446)</f>
        <v>27</v>
      </c>
      <c r="I446" s="13"/>
    </row>
    <row r="447" customFormat="false" ht="15" hidden="false" customHeight="false" outlineLevel="0" collapsed="false">
      <c r="B447" s="12" t="s">
        <v>41</v>
      </c>
      <c r="C447" s="12" t="s">
        <v>152</v>
      </c>
      <c r="D447" s="17" t="s">
        <v>153</v>
      </c>
      <c r="E447" s="17"/>
      <c r="F447" s="13" t="n">
        <v>0</v>
      </c>
      <c r="G447" s="13" t="n">
        <v>28</v>
      </c>
      <c r="H447" s="18" t="n">
        <f aca="false">N(G447)-N(F447)</f>
        <v>28</v>
      </c>
      <c r="I447" s="13"/>
    </row>
    <row r="448" customFormat="false" ht="15" hidden="false" customHeight="false" outlineLevel="0" collapsed="false">
      <c r="B448" s="12" t="s">
        <v>41</v>
      </c>
      <c r="C448" s="12" t="s">
        <v>155</v>
      </c>
      <c r="D448" s="17" t="s">
        <v>156</v>
      </c>
      <c r="E448" s="17" t="s">
        <v>68</v>
      </c>
      <c r="F448" s="13" t="n">
        <v>9</v>
      </c>
      <c r="G448" s="13" t="n">
        <v>15</v>
      </c>
      <c r="H448" s="18" t="n">
        <f aca="false">N(G448)-N(F448)</f>
        <v>6</v>
      </c>
      <c r="I448" s="13" t="n">
        <v>18</v>
      </c>
    </row>
    <row r="449" customFormat="false" ht="15" hidden="false" customHeight="false" outlineLevel="0" collapsed="false">
      <c r="B449" s="12" t="s">
        <v>41</v>
      </c>
      <c r="C449" s="12" t="s">
        <v>361</v>
      </c>
      <c r="D449" s="17" t="s">
        <v>362</v>
      </c>
      <c r="E449" s="17"/>
      <c r="F449" s="13" t="n">
        <v>0</v>
      </c>
      <c r="G449" s="13" t="n">
        <v>25</v>
      </c>
      <c r="H449" s="18" t="n">
        <f aca="false">N(G449)-N(F449)</f>
        <v>25</v>
      </c>
      <c r="I449" s="13"/>
    </row>
    <row r="450" customFormat="false" ht="15" hidden="false" customHeight="false" outlineLevel="0" collapsed="false">
      <c r="B450" s="12" t="s">
        <v>41</v>
      </c>
      <c r="C450" s="12" t="s">
        <v>475</v>
      </c>
      <c r="D450" s="17" t="s">
        <v>476</v>
      </c>
      <c r="E450" s="17"/>
      <c r="F450" s="13" t="n">
        <v>0</v>
      </c>
      <c r="G450" s="13" t="n">
        <v>3</v>
      </c>
      <c r="H450" s="18" t="n">
        <f aca="false">N(G450)-N(F450)</f>
        <v>3</v>
      </c>
      <c r="I450" s="13"/>
    </row>
    <row r="451" customFormat="false" ht="15" hidden="false" customHeight="false" outlineLevel="0" collapsed="false">
      <c r="B451" s="12" t="s">
        <v>41</v>
      </c>
      <c r="C451" s="12" t="s">
        <v>157</v>
      </c>
      <c r="D451" s="17" t="s">
        <v>158</v>
      </c>
      <c r="E451" s="17" t="s">
        <v>68</v>
      </c>
      <c r="F451" s="13" t="n">
        <v>13</v>
      </c>
      <c r="G451" s="13" t="n">
        <v>28</v>
      </c>
      <c r="H451" s="18" t="n">
        <f aca="false">N(G451)-N(F451)</f>
        <v>15</v>
      </c>
      <c r="I451" s="13" t="n">
        <v>13</v>
      </c>
    </row>
    <row r="452" customFormat="false" ht="15" hidden="false" customHeight="false" outlineLevel="0" collapsed="false">
      <c r="B452" s="12" t="s">
        <v>41</v>
      </c>
      <c r="C452" s="12" t="s">
        <v>218</v>
      </c>
      <c r="D452" s="17" t="s">
        <v>219</v>
      </c>
      <c r="E452" s="17" t="s">
        <v>68</v>
      </c>
      <c r="F452" s="13" t="n">
        <v>5</v>
      </c>
      <c r="G452" s="13" t="n">
        <v>2</v>
      </c>
      <c r="H452" s="18" t="n">
        <f aca="false">N(G452)-N(F452)</f>
        <v>-3</v>
      </c>
      <c r="I452" s="13" t="n">
        <v>5</v>
      </c>
    </row>
    <row r="453" customFormat="false" ht="15" hidden="false" customHeight="false" outlineLevel="0" collapsed="false">
      <c r="B453" s="12" t="s">
        <v>41</v>
      </c>
      <c r="C453" s="12" t="s">
        <v>221</v>
      </c>
      <c r="D453" s="17" t="s">
        <v>222</v>
      </c>
      <c r="E453" s="17" t="s">
        <v>68</v>
      </c>
      <c r="F453" s="13" t="n">
        <v>5</v>
      </c>
      <c r="G453" s="13" t="n">
        <v>1</v>
      </c>
      <c r="H453" s="18" t="n">
        <f aca="false">N(G453)-N(F453)</f>
        <v>-4</v>
      </c>
      <c r="I453" s="13" t="n">
        <v>5</v>
      </c>
    </row>
    <row r="454" customFormat="false" ht="15" hidden="false" customHeight="false" outlineLevel="0" collapsed="false">
      <c r="B454" s="12" t="s">
        <v>41</v>
      </c>
      <c r="C454" s="12" t="s">
        <v>159</v>
      </c>
      <c r="D454" s="17" t="s">
        <v>160</v>
      </c>
      <c r="E454" s="17" t="s">
        <v>68</v>
      </c>
      <c r="F454" s="13" t="n">
        <v>14</v>
      </c>
      <c r="G454" s="13" t="n">
        <v>1</v>
      </c>
      <c r="H454" s="18" t="n">
        <f aca="false">N(G454)-N(F454)</f>
        <v>-13</v>
      </c>
      <c r="I454" s="13" t="n">
        <v>14</v>
      </c>
    </row>
    <row r="455" customFormat="false" ht="15" hidden="false" customHeight="false" outlineLevel="0" collapsed="false">
      <c r="B455" s="12" t="s">
        <v>41</v>
      </c>
      <c r="C455" s="12" t="s">
        <v>649</v>
      </c>
      <c r="D455" s="17" t="s">
        <v>650</v>
      </c>
      <c r="E455" s="17"/>
      <c r="F455" s="13" t="n">
        <v>2</v>
      </c>
      <c r="G455" s="13" t="n">
        <v>2</v>
      </c>
      <c r="H455" s="18" t="n">
        <f aca="false">N(G455)-N(F455)</f>
        <v>0</v>
      </c>
      <c r="I455" s="13"/>
    </row>
    <row r="456" customFormat="false" ht="15" hidden="false" customHeight="false" outlineLevel="0" collapsed="false">
      <c r="B456" s="12" t="s">
        <v>41</v>
      </c>
      <c r="C456" s="12" t="s">
        <v>407</v>
      </c>
      <c r="D456" s="17" t="s">
        <v>408</v>
      </c>
      <c r="E456" s="17" t="s">
        <v>68</v>
      </c>
      <c r="F456" s="13" t="n">
        <v>150</v>
      </c>
      <c r="G456" s="13" t="n">
        <v>144</v>
      </c>
      <c r="H456" s="18" t="n">
        <f aca="false">N(G456)-N(F456)</f>
        <v>-6</v>
      </c>
      <c r="I456" s="13" t="n">
        <v>150</v>
      </c>
    </row>
    <row r="457" customFormat="false" ht="15" hidden="false" customHeight="false" outlineLevel="0" collapsed="false">
      <c r="B457" s="12" t="s">
        <v>41</v>
      </c>
      <c r="C457" s="12" t="s">
        <v>125</v>
      </c>
      <c r="D457" s="17" t="s">
        <v>126</v>
      </c>
      <c r="E457" s="17" t="s">
        <v>68</v>
      </c>
      <c r="F457" s="13" t="n">
        <v>15</v>
      </c>
      <c r="G457" s="13" t="n">
        <v>24</v>
      </c>
      <c r="H457" s="18" t="n">
        <f aca="false">N(G457)-N(F457)</f>
        <v>9</v>
      </c>
      <c r="I457" s="13" t="n">
        <v>15</v>
      </c>
    </row>
    <row r="458" customFormat="false" ht="15" hidden="false" customHeight="false" outlineLevel="0" collapsed="false">
      <c r="B458" s="12" t="s">
        <v>41</v>
      </c>
      <c r="C458" s="12" t="s">
        <v>127</v>
      </c>
      <c r="D458" s="17" t="s">
        <v>128</v>
      </c>
      <c r="E458" s="17" t="s">
        <v>68</v>
      </c>
      <c r="F458" s="13" t="n">
        <v>26</v>
      </c>
      <c r="G458" s="13" t="n">
        <v>26</v>
      </c>
      <c r="H458" s="18" t="n">
        <f aca="false">N(G458)-N(F458)</f>
        <v>0</v>
      </c>
      <c r="I458" s="13" t="n">
        <v>26</v>
      </c>
    </row>
    <row r="459" customFormat="false" ht="15" hidden="false" customHeight="false" outlineLevel="0" collapsed="false">
      <c r="B459" s="12" t="s">
        <v>41</v>
      </c>
      <c r="C459" s="12" t="s">
        <v>258</v>
      </c>
      <c r="D459" s="17" t="s">
        <v>259</v>
      </c>
      <c r="E459" s="17" t="s">
        <v>68</v>
      </c>
      <c r="F459" s="13" t="n">
        <v>57</v>
      </c>
      <c r="G459" s="13" t="n">
        <v>58</v>
      </c>
      <c r="H459" s="18" t="n">
        <f aca="false">N(G459)-N(F459)</f>
        <v>1</v>
      </c>
      <c r="I459" s="13" t="n">
        <v>57</v>
      </c>
    </row>
    <row r="460" customFormat="false" ht="15" hidden="false" customHeight="false" outlineLevel="0" collapsed="false">
      <c r="B460" s="12" t="s">
        <v>41</v>
      </c>
      <c r="C460" s="12" t="s">
        <v>260</v>
      </c>
      <c r="D460" s="17" t="s">
        <v>261</v>
      </c>
      <c r="E460" s="17"/>
      <c r="F460" s="13" t="n">
        <v>53</v>
      </c>
      <c r="G460" s="13" t="n">
        <v>4</v>
      </c>
      <c r="H460" s="18" t="n">
        <f aca="false">N(G460)-N(F460)</f>
        <v>-49</v>
      </c>
      <c r="I460" s="13"/>
    </row>
    <row r="461" customFormat="false" ht="15" hidden="false" customHeight="false" outlineLevel="0" collapsed="false">
      <c r="B461" s="12" t="s">
        <v>41</v>
      </c>
      <c r="C461" s="12" t="s">
        <v>224</v>
      </c>
      <c r="D461" s="17" t="s">
        <v>225</v>
      </c>
      <c r="E461" s="17"/>
      <c r="F461" s="13" t="n">
        <v>21</v>
      </c>
      <c r="G461" s="13" t="n">
        <v>20</v>
      </c>
      <c r="H461" s="18" t="n">
        <f aca="false">N(G461)-N(F461)</f>
        <v>-1</v>
      </c>
      <c r="I461" s="13"/>
    </row>
    <row r="462" customFormat="false" ht="15" hidden="false" customHeight="false" outlineLevel="0" collapsed="false">
      <c r="B462" s="12" t="s">
        <v>41</v>
      </c>
      <c r="C462" s="12" t="s">
        <v>380</v>
      </c>
      <c r="D462" s="17" t="s">
        <v>381</v>
      </c>
      <c r="E462" s="17"/>
      <c r="F462" s="13" t="n">
        <v>19</v>
      </c>
      <c r="G462" s="13" t="n">
        <v>0</v>
      </c>
      <c r="H462" s="18" t="n">
        <f aca="false">N(G462)-N(F462)</f>
        <v>-19</v>
      </c>
      <c r="I462" s="13"/>
    </row>
    <row r="463" customFormat="false" ht="15" hidden="false" customHeight="false" outlineLevel="0" collapsed="false">
      <c r="B463" s="12" t="s">
        <v>41</v>
      </c>
      <c r="C463" s="12" t="s">
        <v>277</v>
      </c>
      <c r="D463" s="17" t="s">
        <v>278</v>
      </c>
      <c r="E463" s="17"/>
      <c r="F463" s="13" t="n">
        <v>19</v>
      </c>
      <c r="G463" s="13" t="n">
        <v>19</v>
      </c>
      <c r="H463" s="18" t="n">
        <f aca="false">N(G463)-N(F463)</f>
        <v>0</v>
      </c>
      <c r="I463" s="13"/>
    </row>
    <row r="464" customFormat="false" ht="15" hidden="false" customHeight="false" outlineLevel="0" collapsed="false">
      <c r="B464" s="12" t="s">
        <v>41</v>
      </c>
      <c r="C464" s="12" t="s">
        <v>161</v>
      </c>
      <c r="D464" s="17" t="s">
        <v>162</v>
      </c>
      <c r="E464" s="17" t="s">
        <v>94</v>
      </c>
      <c r="F464" s="13" t="n">
        <v>1505</v>
      </c>
      <c r="G464" s="13" t="n">
        <v>1504</v>
      </c>
      <c r="H464" s="18" t="n">
        <f aca="false">N(G464)-N(F464)</f>
        <v>-1</v>
      </c>
      <c r="I464" s="13" t="n">
        <v>1601.0638</v>
      </c>
    </row>
    <row r="465" customFormat="false" ht="15" hidden="false" customHeight="false" outlineLevel="0" collapsed="false">
      <c r="B465" s="12" t="s">
        <v>41</v>
      </c>
      <c r="C465" s="12" t="s">
        <v>263</v>
      </c>
      <c r="D465" s="17" t="s">
        <v>264</v>
      </c>
      <c r="E465" s="17"/>
      <c r="F465" s="13" t="n">
        <v>25</v>
      </c>
      <c r="G465" s="13" t="n">
        <v>10</v>
      </c>
      <c r="H465" s="18" t="n">
        <f aca="false">N(G465)-N(F465)</f>
        <v>-15</v>
      </c>
      <c r="I465" s="13"/>
    </row>
    <row r="466" customFormat="false" ht="15" hidden="false" customHeight="false" outlineLevel="0" collapsed="false">
      <c r="B466" s="12" t="s">
        <v>41</v>
      </c>
      <c r="C466" s="12" t="s">
        <v>265</v>
      </c>
      <c r="D466" s="17" t="s">
        <v>266</v>
      </c>
      <c r="E466" s="17" t="s">
        <v>68</v>
      </c>
      <c r="F466" s="13" t="n">
        <v>0</v>
      </c>
      <c r="G466" s="13" t="n">
        <v>3</v>
      </c>
      <c r="H466" s="18" t="n">
        <f aca="false">N(G466)-N(F466)</f>
        <v>3</v>
      </c>
      <c r="I466" s="13" t="n">
        <v>25</v>
      </c>
    </row>
    <row r="467" customFormat="false" ht="15" hidden="false" customHeight="false" outlineLevel="0" collapsed="false">
      <c r="B467" s="12" t="s">
        <v>41</v>
      </c>
      <c r="C467" s="12" t="s">
        <v>547</v>
      </c>
      <c r="D467" s="17" t="s">
        <v>548</v>
      </c>
      <c r="E467" s="17"/>
      <c r="F467" s="13" t="n">
        <v>0</v>
      </c>
      <c r="G467" s="13" t="n">
        <v>2</v>
      </c>
      <c r="H467" s="18" t="n">
        <f aca="false">N(G467)-N(F467)</f>
        <v>2</v>
      </c>
      <c r="I467" s="13"/>
    </row>
    <row r="468" customFormat="false" ht="15" hidden="false" customHeight="false" outlineLevel="0" collapsed="false">
      <c r="B468" s="12" t="s">
        <v>41</v>
      </c>
      <c r="C468" s="12" t="s">
        <v>226</v>
      </c>
      <c r="D468" s="17" t="s">
        <v>227</v>
      </c>
      <c r="E468" s="17" t="s">
        <v>68</v>
      </c>
      <c r="F468" s="13" t="n">
        <v>14</v>
      </c>
      <c r="G468" s="13" t="n">
        <v>9</v>
      </c>
      <c r="H468" s="18" t="n">
        <f aca="false">N(G468)-N(F468)</f>
        <v>-5</v>
      </c>
      <c r="I468" s="13" t="n">
        <v>8</v>
      </c>
    </row>
    <row r="469" customFormat="false" ht="15" hidden="false" customHeight="false" outlineLevel="0" collapsed="false">
      <c r="B469" s="12" t="s">
        <v>41</v>
      </c>
      <c r="C469" s="12" t="s">
        <v>280</v>
      </c>
      <c r="D469" s="17" t="s">
        <v>227</v>
      </c>
      <c r="E469" s="17" t="s">
        <v>68</v>
      </c>
      <c r="F469" s="13" t="n">
        <v>0</v>
      </c>
      <c r="G469" s="13" t="n">
        <v>4</v>
      </c>
      <c r="H469" s="18" t="n">
        <f aca="false">N(G469)-N(F469)</f>
        <v>4</v>
      </c>
      <c r="I469" s="13" t="n">
        <v>4</v>
      </c>
    </row>
    <row r="470" customFormat="false" ht="15" hidden="false" customHeight="false" outlineLevel="0" collapsed="false">
      <c r="B470" s="12" t="s">
        <v>42</v>
      </c>
      <c r="C470" s="12" t="s">
        <v>66</v>
      </c>
      <c r="D470" s="17" t="s">
        <v>67</v>
      </c>
      <c r="E470" s="17"/>
      <c r="F470" s="13" t="n">
        <v>16</v>
      </c>
      <c r="G470" s="13" t="n">
        <v>13</v>
      </c>
      <c r="H470" s="18" t="n">
        <f aca="false">N(G470)-N(F470)</f>
        <v>-3</v>
      </c>
      <c r="I470" s="13"/>
    </row>
    <row r="471" customFormat="false" ht="15" hidden="false" customHeight="false" outlineLevel="0" collapsed="false">
      <c r="B471" s="12" t="s">
        <v>42</v>
      </c>
      <c r="C471" s="12" t="s">
        <v>187</v>
      </c>
      <c r="D471" s="17" t="s">
        <v>188</v>
      </c>
      <c r="E471" s="17" t="s">
        <v>68</v>
      </c>
      <c r="F471" s="13" t="n">
        <v>15</v>
      </c>
      <c r="G471" s="13" t="n">
        <v>2</v>
      </c>
      <c r="H471" s="18" t="n">
        <f aca="false">N(G471)-N(F471)</f>
        <v>-13</v>
      </c>
      <c r="I471" s="13" t="n">
        <v>15</v>
      </c>
    </row>
    <row r="472" customFormat="false" ht="15" hidden="false" customHeight="false" outlineLevel="0" collapsed="false">
      <c r="B472" s="12" t="s">
        <v>42</v>
      </c>
      <c r="C472" s="12" t="s">
        <v>228</v>
      </c>
      <c r="D472" s="17" t="s">
        <v>229</v>
      </c>
      <c r="E472" s="17" t="s">
        <v>68</v>
      </c>
      <c r="F472" s="13" t="n">
        <v>13</v>
      </c>
      <c r="G472" s="13" t="n">
        <v>13</v>
      </c>
      <c r="H472" s="18" t="n">
        <f aca="false">N(G472)-N(F472)</f>
        <v>0</v>
      </c>
      <c r="I472" s="13" t="n">
        <v>13</v>
      </c>
    </row>
    <row r="473" customFormat="false" ht="15" hidden="false" customHeight="false" outlineLevel="0" collapsed="false">
      <c r="B473" s="12" t="s">
        <v>42</v>
      </c>
      <c r="C473" s="12" t="s">
        <v>268</v>
      </c>
      <c r="D473" s="17" t="s">
        <v>269</v>
      </c>
      <c r="E473" s="17"/>
      <c r="F473" s="13" t="n">
        <v>13</v>
      </c>
      <c r="G473" s="13" t="n">
        <v>11</v>
      </c>
      <c r="H473" s="18" t="n">
        <f aca="false">N(G473)-N(F473)</f>
        <v>-2</v>
      </c>
      <c r="I473" s="13"/>
    </row>
    <row r="474" customFormat="false" ht="15" hidden="false" customHeight="false" outlineLevel="0" collapsed="false">
      <c r="B474" s="12" t="s">
        <v>42</v>
      </c>
      <c r="C474" s="12" t="s">
        <v>271</v>
      </c>
      <c r="D474" s="17" t="s">
        <v>272</v>
      </c>
      <c r="E474" s="17"/>
      <c r="F474" s="13" t="n">
        <v>0</v>
      </c>
      <c r="G474" s="13" t="n">
        <v>6</v>
      </c>
      <c r="H474" s="18" t="n">
        <f aca="false">N(G474)-N(F474)</f>
        <v>6</v>
      </c>
      <c r="I474" s="13"/>
    </row>
    <row r="475" customFormat="false" ht="15" hidden="false" customHeight="false" outlineLevel="0" collapsed="false">
      <c r="B475" s="12" t="s">
        <v>42</v>
      </c>
      <c r="C475" s="12" t="s">
        <v>282</v>
      </c>
      <c r="D475" s="17" t="s">
        <v>283</v>
      </c>
      <c r="E475" s="17"/>
      <c r="F475" s="13" t="n">
        <v>50</v>
      </c>
      <c r="G475" s="13" t="n">
        <v>4</v>
      </c>
      <c r="H475" s="18" t="n">
        <f aca="false">N(G475)-N(F475)</f>
        <v>-46</v>
      </c>
      <c r="I475" s="13"/>
    </row>
    <row r="476" customFormat="false" ht="15" hidden="false" customHeight="false" outlineLevel="0" collapsed="false">
      <c r="B476" s="12" t="s">
        <v>42</v>
      </c>
      <c r="C476" s="12" t="s">
        <v>129</v>
      </c>
      <c r="D476" s="17" t="s">
        <v>130</v>
      </c>
      <c r="E476" s="17"/>
      <c r="F476" s="13" t="n">
        <v>12</v>
      </c>
      <c r="G476" s="13" t="n">
        <v>23</v>
      </c>
      <c r="H476" s="18" t="n">
        <f aca="false">N(G476)-N(F476)</f>
        <v>11</v>
      </c>
      <c r="I476" s="13"/>
    </row>
    <row r="477" customFormat="false" ht="15" hidden="false" customHeight="false" outlineLevel="0" collapsed="false">
      <c r="B477" s="12" t="s">
        <v>42</v>
      </c>
      <c r="C477" s="12" t="s">
        <v>487</v>
      </c>
      <c r="D477" s="17" t="s">
        <v>488</v>
      </c>
      <c r="E477" s="17"/>
      <c r="F477" s="13" t="n">
        <v>0</v>
      </c>
      <c r="G477" s="13" t="n">
        <v>1</v>
      </c>
      <c r="H477" s="18" t="n">
        <f aca="false">N(G477)-N(F477)</f>
        <v>1</v>
      </c>
      <c r="I477" s="13"/>
    </row>
    <row r="478" customFormat="false" ht="15" hidden="false" customHeight="false" outlineLevel="0" collapsed="false">
      <c r="B478" s="12" t="s">
        <v>42</v>
      </c>
      <c r="C478" s="12" t="s">
        <v>274</v>
      </c>
      <c r="D478" s="17" t="s">
        <v>275</v>
      </c>
      <c r="E478" s="17" t="s">
        <v>68</v>
      </c>
      <c r="F478" s="13" t="n">
        <v>0</v>
      </c>
      <c r="G478" s="13" t="n">
        <v>0</v>
      </c>
      <c r="H478" s="18" t="n">
        <f aca="false">N(G478)-N(F478)</f>
        <v>0</v>
      </c>
      <c r="I478" s="13" t="n">
        <v>50</v>
      </c>
    </row>
    <row r="479" customFormat="false" ht="15" hidden="false" customHeight="false" outlineLevel="0" collapsed="false">
      <c r="B479" s="12" t="s">
        <v>42</v>
      </c>
      <c r="C479" s="12" t="s">
        <v>231</v>
      </c>
      <c r="D479" s="17" t="s">
        <v>232</v>
      </c>
      <c r="E479" s="17"/>
      <c r="F479" s="13" t="n">
        <v>0</v>
      </c>
      <c r="G479" s="13" t="n">
        <v>11</v>
      </c>
      <c r="H479" s="18" t="n">
        <f aca="false">N(G479)-N(F479)</f>
        <v>11</v>
      </c>
      <c r="I479" s="13"/>
    </row>
    <row r="480" customFormat="false" ht="15" hidden="false" customHeight="false" outlineLevel="0" collapsed="false">
      <c r="B480" s="12" t="s">
        <v>42</v>
      </c>
      <c r="C480" s="12" t="s">
        <v>285</v>
      </c>
      <c r="D480" s="17" t="s">
        <v>286</v>
      </c>
      <c r="E480" s="17"/>
      <c r="F480" s="13" t="n">
        <v>20</v>
      </c>
      <c r="G480" s="13" t="n">
        <v>15</v>
      </c>
      <c r="H480" s="18" t="n">
        <f aca="false">N(G480)-N(F480)</f>
        <v>-5</v>
      </c>
      <c r="I480" s="13"/>
    </row>
    <row r="481" customFormat="false" ht="15" hidden="false" customHeight="false" outlineLevel="0" collapsed="false">
      <c r="B481" s="12" t="s">
        <v>42</v>
      </c>
      <c r="C481" s="12" t="s">
        <v>234</v>
      </c>
      <c r="D481" s="17" t="s">
        <v>235</v>
      </c>
      <c r="E481" s="17"/>
      <c r="F481" s="13" t="n">
        <v>0</v>
      </c>
      <c r="G481" s="13" t="n">
        <v>2</v>
      </c>
      <c r="H481" s="18" t="n">
        <f aca="false">N(G481)-N(F481)</f>
        <v>2</v>
      </c>
      <c r="I481" s="13"/>
    </row>
    <row r="482" customFormat="false" ht="15" hidden="false" customHeight="false" outlineLevel="0" collapsed="false">
      <c r="B482" s="12" t="s">
        <v>42</v>
      </c>
      <c r="C482" s="12" t="s">
        <v>443</v>
      </c>
      <c r="D482" s="17" t="s">
        <v>444</v>
      </c>
      <c r="E482" s="17" t="s">
        <v>68</v>
      </c>
      <c r="F482" s="13" t="n">
        <v>0</v>
      </c>
      <c r="G482" s="13" t="n">
        <v>1</v>
      </c>
      <c r="H482" s="18" t="n">
        <f aca="false">N(G482)-N(F482)</f>
        <v>1</v>
      </c>
      <c r="I482" s="13" t="n">
        <v>1</v>
      </c>
    </row>
    <row r="483" customFormat="false" ht="15" hidden="false" customHeight="false" outlineLevel="0" collapsed="false">
      <c r="B483" s="12" t="s">
        <v>42</v>
      </c>
      <c r="C483" s="12" t="s">
        <v>70</v>
      </c>
      <c r="D483" s="17" t="s">
        <v>71</v>
      </c>
      <c r="E483" s="17" t="s">
        <v>68</v>
      </c>
      <c r="F483" s="13" t="n">
        <v>150</v>
      </c>
      <c r="G483" s="13" t="n">
        <v>151</v>
      </c>
      <c r="H483" s="18" t="n">
        <f aca="false">N(G483)-N(F483)</f>
        <v>1</v>
      </c>
      <c r="I483" s="13" t="n">
        <v>150</v>
      </c>
    </row>
    <row r="484" customFormat="false" ht="15" hidden="false" customHeight="false" outlineLevel="0" collapsed="false">
      <c r="B484" s="12" t="s">
        <v>42</v>
      </c>
      <c r="C484" s="12" t="s">
        <v>72</v>
      </c>
      <c r="D484" s="17" t="s">
        <v>73</v>
      </c>
      <c r="E484" s="17"/>
      <c r="F484" s="13" t="n">
        <v>50</v>
      </c>
      <c r="G484" s="13" t="n">
        <v>60</v>
      </c>
      <c r="H484" s="18" t="n">
        <f aca="false">N(G484)-N(F484)</f>
        <v>10</v>
      </c>
      <c r="I484" s="13"/>
    </row>
    <row r="485" customFormat="false" ht="15" hidden="false" customHeight="false" outlineLevel="0" collapsed="false">
      <c r="B485" s="12" t="s">
        <v>42</v>
      </c>
      <c r="C485" s="12" t="s">
        <v>74</v>
      </c>
      <c r="D485" s="17" t="s">
        <v>75</v>
      </c>
      <c r="E485" s="17" t="s">
        <v>68</v>
      </c>
      <c r="F485" s="13" t="n">
        <v>30</v>
      </c>
      <c r="G485" s="13" t="n">
        <v>30</v>
      </c>
      <c r="H485" s="18" t="n">
        <f aca="false">N(G485)-N(F485)</f>
        <v>0</v>
      </c>
      <c r="I485" s="13" t="n">
        <v>30</v>
      </c>
    </row>
    <row r="486" customFormat="false" ht="15" hidden="false" customHeight="false" outlineLevel="0" collapsed="false">
      <c r="B486" s="12" t="s">
        <v>42</v>
      </c>
      <c r="C486" s="12" t="s">
        <v>164</v>
      </c>
      <c r="D486" s="17" t="s">
        <v>165</v>
      </c>
      <c r="E486" s="17"/>
      <c r="F486" s="13" t="n">
        <v>0</v>
      </c>
      <c r="G486" s="13" t="n">
        <v>7</v>
      </c>
      <c r="H486" s="18" t="n">
        <f aca="false">N(G486)-N(F486)</f>
        <v>7</v>
      </c>
      <c r="I486" s="13"/>
    </row>
    <row r="487" customFormat="false" ht="15" hidden="false" customHeight="false" outlineLevel="0" collapsed="false">
      <c r="B487" s="12" t="s">
        <v>42</v>
      </c>
      <c r="C487" s="12" t="s">
        <v>167</v>
      </c>
      <c r="D487" s="17" t="s">
        <v>168</v>
      </c>
      <c r="E487" s="17" t="s">
        <v>68</v>
      </c>
      <c r="F487" s="13" t="n">
        <v>30</v>
      </c>
      <c r="G487" s="13" t="n">
        <v>16</v>
      </c>
      <c r="H487" s="18" t="n">
        <f aca="false">N(G487)-N(F487)</f>
        <v>-14</v>
      </c>
      <c r="I487" s="13" t="n">
        <v>30</v>
      </c>
    </row>
    <row r="488" customFormat="false" ht="15" hidden="false" customHeight="false" outlineLevel="0" collapsed="false">
      <c r="B488" s="12" t="s">
        <v>42</v>
      </c>
      <c r="C488" s="12" t="s">
        <v>76</v>
      </c>
      <c r="D488" s="17" t="s">
        <v>77</v>
      </c>
      <c r="E488" s="17" t="s">
        <v>68</v>
      </c>
      <c r="F488" s="13" t="n">
        <v>390</v>
      </c>
      <c r="G488" s="13" t="n">
        <v>94</v>
      </c>
      <c r="H488" s="18" t="n">
        <f aca="false">N(G488)-N(F488)</f>
        <v>-296</v>
      </c>
      <c r="I488" s="13" t="n">
        <v>390</v>
      </c>
    </row>
    <row r="489" customFormat="false" ht="15" hidden="false" customHeight="false" outlineLevel="0" collapsed="false">
      <c r="B489" s="12" t="s">
        <v>42</v>
      </c>
      <c r="C489" s="12" t="s">
        <v>78</v>
      </c>
      <c r="D489" s="17" t="s">
        <v>79</v>
      </c>
      <c r="E489" s="17" t="s">
        <v>68</v>
      </c>
      <c r="F489" s="13" t="n">
        <v>150</v>
      </c>
      <c r="G489" s="13" t="n">
        <v>211</v>
      </c>
      <c r="H489" s="18" t="n">
        <f aca="false">N(G489)-N(F489)</f>
        <v>61</v>
      </c>
      <c r="I489" s="13" t="n">
        <v>150</v>
      </c>
    </row>
    <row r="490" customFormat="false" ht="15" hidden="false" customHeight="false" outlineLevel="0" collapsed="false">
      <c r="B490" s="12" t="s">
        <v>42</v>
      </c>
      <c r="C490" s="12" t="s">
        <v>288</v>
      </c>
      <c r="D490" s="17" t="s">
        <v>289</v>
      </c>
      <c r="E490" s="17"/>
      <c r="F490" s="13" t="n">
        <v>0</v>
      </c>
      <c r="G490" s="13" t="n">
        <v>6</v>
      </c>
      <c r="H490" s="18" t="n">
        <f aca="false">N(G490)-N(F490)</f>
        <v>6</v>
      </c>
      <c r="I490" s="13"/>
    </row>
    <row r="491" customFormat="false" ht="15" hidden="false" customHeight="false" outlineLevel="0" collapsed="false">
      <c r="B491" s="12" t="s">
        <v>42</v>
      </c>
      <c r="C491" s="12" t="s">
        <v>80</v>
      </c>
      <c r="D491" s="17" t="s">
        <v>81</v>
      </c>
      <c r="E491" s="17" t="s">
        <v>68</v>
      </c>
      <c r="F491" s="13" t="n">
        <v>450</v>
      </c>
      <c r="G491" s="13" t="n">
        <v>372</v>
      </c>
      <c r="H491" s="18" t="n">
        <f aca="false">N(G491)-N(F491)</f>
        <v>-78</v>
      </c>
      <c r="I491" s="13" t="n">
        <v>450</v>
      </c>
    </row>
    <row r="492" customFormat="false" ht="15" hidden="false" customHeight="false" outlineLevel="0" collapsed="false">
      <c r="B492" s="12" t="s">
        <v>42</v>
      </c>
      <c r="C492" s="12" t="s">
        <v>502</v>
      </c>
      <c r="D492" s="17" t="s">
        <v>503</v>
      </c>
      <c r="E492" s="17" t="s">
        <v>68</v>
      </c>
      <c r="F492" s="13" t="n">
        <v>30</v>
      </c>
      <c r="G492" s="13" t="n">
        <v>18</v>
      </c>
      <c r="H492" s="18" t="n">
        <f aca="false">N(G492)-N(F492)</f>
        <v>-12</v>
      </c>
      <c r="I492" s="13" t="n">
        <v>30</v>
      </c>
    </row>
    <row r="493" customFormat="false" ht="15" hidden="false" customHeight="false" outlineLevel="0" collapsed="false">
      <c r="B493" s="12" t="s">
        <v>42</v>
      </c>
      <c r="C493" s="12" t="s">
        <v>82</v>
      </c>
      <c r="D493" s="17" t="s">
        <v>83</v>
      </c>
      <c r="E493" s="17" t="s">
        <v>68</v>
      </c>
      <c r="F493" s="13" t="n">
        <v>22</v>
      </c>
      <c r="G493" s="13" t="n">
        <v>19</v>
      </c>
      <c r="H493" s="18" t="n">
        <f aca="false">N(G493)-N(F493)</f>
        <v>-3</v>
      </c>
      <c r="I493" s="13" t="n">
        <v>22</v>
      </c>
    </row>
    <row r="494" customFormat="false" ht="15" hidden="false" customHeight="false" outlineLevel="0" collapsed="false">
      <c r="B494" s="12" t="s">
        <v>42</v>
      </c>
      <c r="C494" s="12" t="s">
        <v>316</v>
      </c>
      <c r="D494" s="17" t="s">
        <v>317</v>
      </c>
      <c r="E494" s="17"/>
      <c r="F494" s="13" t="n">
        <v>0</v>
      </c>
      <c r="G494" s="13" t="n">
        <v>48</v>
      </c>
      <c r="H494" s="18" t="n">
        <f aca="false">N(G494)-N(F494)</f>
        <v>48</v>
      </c>
      <c r="I494" s="13"/>
    </row>
    <row r="495" customFormat="false" ht="15" hidden="false" customHeight="false" outlineLevel="0" collapsed="false">
      <c r="B495" s="12" t="s">
        <v>42</v>
      </c>
      <c r="C495" s="12" t="s">
        <v>190</v>
      </c>
      <c r="D495" s="17" t="s">
        <v>191</v>
      </c>
      <c r="E495" s="17" t="s">
        <v>68</v>
      </c>
      <c r="F495" s="13" t="n">
        <v>0</v>
      </c>
      <c r="G495" s="13" t="n">
        <v>21</v>
      </c>
      <c r="H495" s="18" t="n">
        <f aca="false">N(G495)-N(F495)</f>
        <v>21</v>
      </c>
      <c r="I495" s="13" t="n">
        <v>30</v>
      </c>
    </row>
    <row r="496" customFormat="false" ht="15" hidden="false" customHeight="false" outlineLevel="0" collapsed="false">
      <c r="B496" s="12" t="s">
        <v>42</v>
      </c>
      <c r="C496" s="12" t="s">
        <v>291</v>
      </c>
      <c r="D496" s="17" t="s">
        <v>292</v>
      </c>
      <c r="E496" s="17"/>
      <c r="F496" s="13" t="n">
        <v>0</v>
      </c>
      <c r="G496" s="13" t="n">
        <v>220</v>
      </c>
      <c r="H496" s="18" t="n">
        <f aca="false">N(G496)-N(F496)</f>
        <v>220</v>
      </c>
      <c r="I496" s="13"/>
    </row>
    <row r="497" customFormat="false" ht="15" hidden="false" customHeight="false" outlineLevel="0" collapsed="false">
      <c r="B497" s="12" t="s">
        <v>42</v>
      </c>
      <c r="C497" s="12" t="s">
        <v>237</v>
      </c>
      <c r="D497" s="17" t="s">
        <v>238</v>
      </c>
      <c r="E497" s="17"/>
      <c r="F497" s="13" t="n">
        <v>0</v>
      </c>
      <c r="G497" s="13" t="n">
        <v>2</v>
      </c>
      <c r="H497" s="18" t="n">
        <f aca="false">N(G497)-N(F497)</f>
        <v>2</v>
      </c>
      <c r="I497" s="13"/>
    </row>
    <row r="498" customFormat="false" ht="15" hidden="false" customHeight="false" outlineLevel="0" collapsed="false">
      <c r="B498" s="12" t="s">
        <v>42</v>
      </c>
      <c r="C498" s="12" t="s">
        <v>84</v>
      </c>
      <c r="D498" s="17" t="s">
        <v>85</v>
      </c>
      <c r="E498" s="17" t="s">
        <v>68</v>
      </c>
      <c r="F498" s="13" t="n">
        <v>50</v>
      </c>
      <c r="G498" s="13" t="n">
        <v>26</v>
      </c>
      <c r="H498" s="18" t="n">
        <f aca="false">N(G498)-N(F498)</f>
        <v>-24</v>
      </c>
      <c r="I498" s="13" t="n">
        <v>50</v>
      </c>
    </row>
    <row r="499" customFormat="false" ht="15" hidden="false" customHeight="false" outlineLevel="0" collapsed="false">
      <c r="B499" s="12" t="s">
        <v>42</v>
      </c>
      <c r="C499" s="12" t="s">
        <v>416</v>
      </c>
      <c r="D499" s="17" t="s">
        <v>417</v>
      </c>
      <c r="E499" s="17"/>
      <c r="F499" s="13" t="n">
        <v>0</v>
      </c>
      <c r="G499" s="13" t="n">
        <v>2</v>
      </c>
      <c r="H499" s="18" t="n">
        <f aca="false">N(G499)-N(F499)</f>
        <v>2</v>
      </c>
      <c r="I499" s="13"/>
    </row>
    <row r="500" customFormat="false" ht="15" hidden="false" customHeight="false" outlineLevel="0" collapsed="false">
      <c r="B500" s="12" t="s">
        <v>42</v>
      </c>
      <c r="C500" s="12" t="s">
        <v>193</v>
      </c>
      <c r="D500" s="17" t="s">
        <v>194</v>
      </c>
      <c r="E500" s="17" t="s">
        <v>68</v>
      </c>
      <c r="F500" s="13" t="n">
        <v>12</v>
      </c>
      <c r="G500" s="13" t="n">
        <v>16</v>
      </c>
      <c r="H500" s="18" t="n">
        <f aca="false">N(G500)-N(F500)</f>
        <v>4</v>
      </c>
      <c r="I500" s="13" t="n">
        <v>12</v>
      </c>
    </row>
    <row r="501" customFormat="false" ht="15" hidden="false" customHeight="false" outlineLevel="0" collapsed="false">
      <c r="B501" s="12" t="s">
        <v>42</v>
      </c>
      <c r="C501" s="12" t="s">
        <v>86</v>
      </c>
      <c r="D501" s="17" t="s">
        <v>87</v>
      </c>
      <c r="E501" s="17" t="s">
        <v>68</v>
      </c>
      <c r="F501" s="13" t="n">
        <v>50</v>
      </c>
      <c r="G501" s="13" t="n">
        <v>40</v>
      </c>
      <c r="H501" s="18" t="n">
        <f aca="false">N(G501)-N(F501)</f>
        <v>-10</v>
      </c>
      <c r="I501" s="13" t="n">
        <v>50</v>
      </c>
    </row>
    <row r="502" customFormat="false" ht="15" hidden="false" customHeight="false" outlineLevel="0" collapsed="false">
      <c r="B502" s="12" t="s">
        <v>42</v>
      </c>
      <c r="C502" s="12" t="s">
        <v>132</v>
      </c>
      <c r="D502" s="17" t="s">
        <v>133</v>
      </c>
      <c r="E502" s="17" t="s">
        <v>68</v>
      </c>
      <c r="F502" s="13" t="n">
        <v>60</v>
      </c>
      <c r="G502" s="13" t="n">
        <v>49</v>
      </c>
      <c r="H502" s="18" t="n">
        <f aca="false">N(G502)-N(F502)</f>
        <v>-11</v>
      </c>
      <c r="I502" s="13" t="n">
        <v>60</v>
      </c>
    </row>
    <row r="503" customFormat="false" ht="15" hidden="false" customHeight="false" outlineLevel="0" collapsed="false">
      <c r="B503" s="12" t="s">
        <v>42</v>
      </c>
      <c r="C503" s="12" t="s">
        <v>294</v>
      </c>
      <c r="D503" s="17" t="s">
        <v>295</v>
      </c>
      <c r="E503" s="17"/>
      <c r="F503" s="13" t="n">
        <v>0</v>
      </c>
      <c r="G503" s="13" t="n">
        <v>1</v>
      </c>
      <c r="H503" s="18" t="n">
        <f aca="false">N(G503)-N(F503)</f>
        <v>1</v>
      </c>
      <c r="I503" s="13"/>
    </row>
    <row r="504" customFormat="false" ht="15" hidden="false" customHeight="false" outlineLevel="0" collapsed="false">
      <c r="B504" s="12" t="s">
        <v>42</v>
      </c>
      <c r="C504" s="12" t="s">
        <v>196</v>
      </c>
      <c r="D504" s="17" t="s">
        <v>197</v>
      </c>
      <c r="E504" s="17" t="s">
        <v>68</v>
      </c>
      <c r="F504" s="13" t="n">
        <v>20</v>
      </c>
      <c r="G504" s="13" t="n">
        <v>16</v>
      </c>
      <c r="H504" s="18" t="n">
        <f aca="false">N(G504)-N(F504)</f>
        <v>-4</v>
      </c>
      <c r="I504" s="13" t="n">
        <v>20</v>
      </c>
    </row>
    <row r="505" customFormat="false" ht="15" hidden="false" customHeight="false" outlineLevel="0" collapsed="false">
      <c r="B505" s="12" t="s">
        <v>42</v>
      </c>
      <c r="C505" s="12" t="s">
        <v>110</v>
      </c>
      <c r="D505" s="17" t="s">
        <v>111</v>
      </c>
      <c r="E505" s="17" t="s">
        <v>68</v>
      </c>
      <c r="F505" s="13" t="n">
        <v>75</v>
      </c>
      <c r="G505" s="13" t="n">
        <v>86</v>
      </c>
      <c r="H505" s="18" t="n">
        <f aca="false">N(G505)-N(F505)</f>
        <v>11</v>
      </c>
      <c r="I505" s="13" t="n">
        <v>75</v>
      </c>
    </row>
    <row r="506" customFormat="false" ht="15" hidden="false" customHeight="false" outlineLevel="0" collapsed="false">
      <c r="B506" s="12" t="s">
        <v>42</v>
      </c>
      <c r="C506" s="12" t="s">
        <v>135</v>
      </c>
      <c r="D506" s="17" t="s">
        <v>136</v>
      </c>
      <c r="E506" s="17" t="s">
        <v>94</v>
      </c>
      <c r="F506" s="13" t="n">
        <v>5200</v>
      </c>
      <c r="G506" s="13" t="n">
        <v>5139</v>
      </c>
      <c r="H506" s="18" t="n">
        <f aca="false">N(G506)-N(F506)</f>
        <v>-61</v>
      </c>
      <c r="I506" s="13" t="n">
        <v>5430.2162</v>
      </c>
    </row>
    <row r="507" customFormat="false" ht="15" hidden="false" customHeight="false" outlineLevel="0" collapsed="false">
      <c r="B507" s="12" t="s">
        <v>42</v>
      </c>
      <c r="C507" s="12" t="s">
        <v>319</v>
      </c>
      <c r="D507" s="17" t="s">
        <v>320</v>
      </c>
      <c r="E507" s="17" t="s">
        <v>68</v>
      </c>
      <c r="F507" s="13" t="n">
        <v>0</v>
      </c>
      <c r="G507" s="13" t="n">
        <v>2</v>
      </c>
      <c r="H507" s="18" t="n">
        <f aca="false">N(G507)-N(F507)</f>
        <v>2</v>
      </c>
      <c r="I507" s="13" t="n">
        <v>4</v>
      </c>
    </row>
    <row r="508" customFormat="false" ht="15" hidden="false" customHeight="false" outlineLevel="0" collapsed="false">
      <c r="B508" s="12" t="s">
        <v>42</v>
      </c>
      <c r="C508" s="12" t="s">
        <v>297</v>
      </c>
      <c r="D508" s="17" t="s">
        <v>298</v>
      </c>
      <c r="E508" s="17" t="s">
        <v>68</v>
      </c>
      <c r="F508" s="13" t="n">
        <v>20</v>
      </c>
      <c r="G508" s="13" t="n">
        <v>22</v>
      </c>
      <c r="H508" s="18" t="n">
        <f aca="false">N(G508)-N(F508)</f>
        <v>2</v>
      </c>
      <c r="I508" s="13" t="n">
        <v>20</v>
      </c>
    </row>
    <row r="509" customFormat="false" ht="15" hidden="false" customHeight="false" outlineLevel="0" collapsed="false">
      <c r="B509" s="12" t="s">
        <v>42</v>
      </c>
      <c r="C509" s="12" t="s">
        <v>512</v>
      </c>
      <c r="D509" s="17" t="s">
        <v>513</v>
      </c>
      <c r="E509" s="17"/>
      <c r="F509" s="13" t="n">
        <v>0</v>
      </c>
      <c r="G509" s="13" t="n">
        <v>264</v>
      </c>
      <c r="H509" s="18" t="n">
        <f aca="false">N(G509)-N(F509)</f>
        <v>264</v>
      </c>
      <c r="I509" s="13"/>
    </row>
    <row r="510" customFormat="false" ht="15" hidden="false" customHeight="false" outlineLevel="0" collapsed="false">
      <c r="B510" s="12" t="s">
        <v>42</v>
      </c>
      <c r="C510" s="12" t="s">
        <v>170</v>
      </c>
      <c r="D510" s="17" t="s">
        <v>171</v>
      </c>
      <c r="E510" s="17"/>
      <c r="F510" s="13" t="n">
        <v>50</v>
      </c>
      <c r="G510" s="13" t="n">
        <v>71</v>
      </c>
      <c r="H510" s="18" t="n">
        <f aca="false">N(G510)-N(F510)</f>
        <v>21</v>
      </c>
      <c r="I510" s="13"/>
    </row>
    <row r="511" customFormat="false" ht="15" hidden="false" customHeight="false" outlineLevel="0" collapsed="false">
      <c r="B511" s="12" t="s">
        <v>42</v>
      </c>
      <c r="C511" s="12" t="s">
        <v>198</v>
      </c>
      <c r="D511" s="17" t="s">
        <v>199</v>
      </c>
      <c r="E511" s="17"/>
      <c r="F511" s="13" t="n">
        <v>0</v>
      </c>
      <c r="G511" s="13" t="n">
        <v>4</v>
      </c>
      <c r="H511" s="18" t="n">
        <f aca="false">N(G511)-N(F511)</f>
        <v>4</v>
      </c>
      <c r="I511" s="13"/>
    </row>
    <row r="512" customFormat="false" ht="15" hidden="false" customHeight="false" outlineLevel="0" collapsed="false">
      <c r="B512" s="12" t="s">
        <v>42</v>
      </c>
      <c r="C512" s="12" t="s">
        <v>88</v>
      </c>
      <c r="D512" s="17" t="s">
        <v>89</v>
      </c>
      <c r="E512" s="17" t="s">
        <v>68</v>
      </c>
      <c r="F512" s="13" t="n">
        <v>65</v>
      </c>
      <c r="G512" s="13" t="n">
        <v>58</v>
      </c>
      <c r="H512" s="18" t="n">
        <f aca="false">N(G512)-N(F512)</f>
        <v>-7</v>
      </c>
      <c r="I512" s="13" t="n">
        <v>65</v>
      </c>
    </row>
    <row r="513" customFormat="false" ht="15" hidden="false" customHeight="false" outlineLevel="0" collapsed="false">
      <c r="B513" s="12" t="s">
        <v>42</v>
      </c>
      <c r="C513" s="12" t="s">
        <v>90</v>
      </c>
      <c r="D513" s="17" t="s">
        <v>91</v>
      </c>
      <c r="E513" s="17" t="s">
        <v>68</v>
      </c>
      <c r="F513" s="13" t="n">
        <v>15</v>
      </c>
      <c r="G513" s="13" t="n">
        <v>7</v>
      </c>
      <c r="H513" s="18" t="n">
        <f aca="false">N(G513)-N(F513)</f>
        <v>-8</v>
      </c>
      <c r="I513" s="13" t="n">
        <v>15</v>
      </c>
    </row>
    <row r="514" customFormat="false" ht="15" hidden="false" customHeight="false" outlineLevel="0" collapsed="false">
      <c r="B514" s="12" t="s">
        <v>42</v>
      </c>
      <c r="C514" s="12" t="s">
        <v>92</v>
      </c>
      <c r="D514" s="17" t="s">
        <v>93</v>
      </c>
      <c r="E514" s="17" t="s">
        <v>94</v>
      </c>
      <c r="F514" s="13" t="n">
        <v>650</v>
      </c>
      <c r="G514" s="13" t="n">
        <v>975</v>
      </c>
      <c r="H514" s="18" t="n">
        <f aca="false">N(G514)-N(F514)</f>
        <v>325</v>
      </c>
      <c r="I514" s="13" t="n">
        <v>296.0826</v>
      </c>
    </row>
    <row r="515" customFormat="false" ht="15" hidden="false" customHeight="false" outlineLevel="0" collapsed="false">
      <c r="B515" s="12" t="s">
        <v>42</v>
      </c>
      <c r="C515" s="12" t="s">
        <v>300</v>
      </c>
      <c r="D515" s="17" t="s">
        <v>301</v>
      </c>
      <c r="E515" s="17"/>
      <c r="F515" s="13" t="n">
        <v>0</v>
      </c>
      <c r="G515" s="13" t="n">
        <v>8</v>
      </c>
      <c r="H515" s="18" t="n">
        <f aca="false">N(G515)-N(F515)</f>
        <v>8</v>
      </c>
      <c r="I515" s="13"/>
    </row>
    <row r="516" customFormat="false" ht="15" hidden="false" customHeight="false" outlineLevel="0" collapsed="false">
      <c r="B516" s="12" t="s">
        <v>42</v>
      </c>
      <c r="C516" s="12" t="s">
        <v>240</v>
      </c>
      <c r="D516" s="17" t="s">
        <v>241</v>
      </c>
      <c r="E516" s="17" t="s">
        <v>94</v>
      </c>
      <c r="F516" s="13" t="n">
        <v>2800</v>
      </c>
      <c r="G516" s="13" t="n">
        <v>254</v>
      </c>
      <c r="H516" s="18" t="n">
        <f aca="false">N(G516)-N(F516)</f>
        <v>-2546</v>
      </c>
      <c r="I516" s="13" t="n">
        <v>3933.8319</v>
      </c>
    </row>
    <row r="517" customFormat="false" ht="15" hidden="false" customHeight="false" outlineLevel="0" collapsed="false">
      <c r="B517" s="12" t="s">
        <v>42</v>
      </c>
      <c r="C517" s="12" t="s">
        <v>325</v>
      </c>
      <c r="D517" s="17" t="s">
        <v>326</v>
      </c>
      <c r="E517" s="17"/>
      <c r="F517" s="13" t="n">
        <v>0</v>
      </c>
      <c r="G517" s="13" t="n">
        <v>4</v>
      </c>
      <c r="H517" s="18" t="n">
        <f aca="false">N(G517)-N(F517)</f>
        <v>4</v>
      </c>
      <c r="I517" s="13"/>
    </row>
    <row r="518" customFormat="false" ht="15" hidden="false" customHeight="false" outlineLevel="0" collapsed="false">
      <c r="B518" s="12" t="s">
        <v>42</v>
      </c>
      <c r="C518" s="12" t="s">
        <v>95</v>
      </c>
      <c r="D518" s="17" t="s">
        <v>96</v>
      </c>
      <c r="E518" s="17"/>
      <c r="F518" s="13" t="n">
        <v>5</v>
      </c>
      <c r="G518" s="13" t="n">
        <v>5</v>
      </c>
      <c r="H518" s="18" t="n">
        <f aca="false">N(G518)-N(F518)</f>
        <v>0</v>
      </c>
      <c r="I518" s="13"/>
    </row>
    <row r="519" customFormat="false" ht="15" hidden="false" customHeight="false" outlineLevel="0" collapsed="false">
      <c r="B519" s="12" t="s">
        <v>42</v>
      </c>
      <c r="C519" s="12" t="s">
        <v>97</v>
      </c>
      <c r="D519" s="17" t="s">
        <v>98</v>
      </c>
      <c r="E519" s="17" t="s">
        <v>68</v>
      </c>
      <c r="F519" s="13" t="n">
        <v>100</v>
      </c>
      <c r="G519" s="13" t="n">
        <v>105</v>
      </c>
      <c r="H519" s="18" t="n">
        <f aca="false">N(G519)-N(F519)</f>
        <v>5</v>
      </c>
      <c r="I519" s="13" t="n">
        <v>100</v>
      </c>
    </row>
    <row r="520" customFormat="false" ht="15" hidden="false" customHeight="false" outlineLevel="0" collapsed="false">
      <c r="B520" s="12" t="s">
        <v>42</v>
      </c>
      <c r="C520" s="12" t="s">
        <v>327</v>
      </c>
      <c r="D520" s="17" t="s">
        <v>328</v>
      </c>
      <c r="E520" s="17" t="s">
        <v>68</v>
      </c>
      <c r="F520" s="13" t="n">
        <v>3</v>
      </c>
      <c r="G520" s="13" t="n">
        <v>3</v>
      </c>
      <c r="H520" s="18" t="n">
        <f aca="false">N(G520)-N(F520)</f>
        <v>0</v>
      </c>
      <c r="I520" s="13" t="n">
        <v>3</v>
      </c>
    </row>
    <row r="521" customFormat="false" ht="15" hidden="false" customHeight="false" outlineLevel="0" collapsed="false">
      <c r="B521" s="12" t="s">
        <v>42</v>
      </c>
      <c r="C521" s="12" t="s">
        <v>201</v>
      </c>
      <c r="D521" s="17" t="s">
        <v>202</v>
      </c>
      <c r="E521" s="17" t="s">
        <v>68</v>
      </c>
      <c r="F521" s="13" t="n">
        <v>6</v>
      </c>
      <c r="G521" s="13" t="n">
        <v>10</v>
      </c>
      <c r="H521" s="18" t="n">
        <f aca="false">N(G521)-N(F521)</f>
        <v>4</v>
      </c>
      <c r="I521" s="13" t="n">
        <v>6</v>
      </c>
    </row>
    <row r="522" customFormat="false" ht="15" hidden="false" customHeight="false" outlineLevel="0" collapsed="false">
      <c r="B522" s="12" t="s">
        <v>42</v>
      </c>
      <c r="C522" s="12" t="s">
        <v>138</v>
      </c>
      <c r="D522" s="17" t="s">
        <v>139</v>
      </c>
      <c r="E522" s="17" t="s">
        <v>68</v>
      </c>
      <c r="F522" s="13" t="n">
        <v>12</v>
      </c>
      <c r="G522" s="13" t="n">
        <v>16</v>
      </c>
      <c r="H522" s="18" t="n">
        <f aca="false">N(G522)-N(F522)</f>
        <v>4</v>
      </c>
      <c r="I522" s="13" t="n">
        <v>40</v>
      </c>
    </row>
    <row r="523" customFormat="false" ht="15" hidden="false" customHeight="false" outlineLevel="0" collapsed="false">
      <c r="B523" s="12" t="s">
        <v>42</v>
      </c>
      <c r="C523" s="12" t="s">
        <v>302</v>
      </c>
      <c r="D523" s="17" t="s">
        <v>133</v>
      </c>
      <c r="E523" s="17"/>
      <c r="F523" s="13" t="n">
        <v>12</v>
      </c>
      <c r="G523" s="13" t="n">
        <v>6</v>
      </c>
      <c r="H523" s="18" t="n">
        <f aca="false">N(G523)-N(F523)</f>
        <v>-6</v>
      </c>
      <c r="I523" s="13"/>
    </row>
    <row r="524" customFormat="false" ht="15" hidden="false" customHeight="false" outlineLevel="0" collapsed="false">
      <c r="B524" s="12" t="s">
        <v>42</v>
      </c>
      <c r="C524" s="12" t="s">
        <v>242</v>
      </c>
      <c r="D524" s="17" t="s">
        <v>243</v>
      </c>
      <c r="E524" s="17"/>
      <c r="F524" s="13" t="n">
        <v>0</v>
      </c>
      <c r="G524" s="13" t="n">
        <v>2</v>
      </c>
      <c r="H524" s="18" t="n">
        <f aca="false">N(G524)-N(F524)</f>
        <v>2</v>
      </c>
      <c r="I524" s="13"/>
    </row>
    <row r="525" customFormat="false" ht="15" hidden="false" customHeight="false" outlineLevel="0" collapsed="false">
      <c r="B525" s="12" t="s">
        <v>42</v>
      </c>
      <c r="C525" s="12" t="s">
        <v>113</v>
      </c>
      <c r="D525" s="17" t="s">
        <v>114</v>
      </c>
      <c r="E525" s="17" t="s">
        <v>68</v>
      </c>
      <c r="F525" s="13" t="n">
        <v>50</v>
      </c>
      <c r="G525" s="13" t="n">
        <v>39</v>
      </c>
      <c r="H525" s="18" t="n">
        <f aca="false">N(G525)-N(F525)</f>
        <v>-11</v>
      </c>
      <c r="I525" s="13" t="n">
        <v>50</v>
      </c>
    </row>
    <row r="526" customFormat="false" ht="15" hidden="false" customHeight="false" outlineLevel="0" collapsed="false">
      <c r="B526" s="12" t="s">
        <v>42</v>
      </c>
      <c r="C526" s="12" t="s">
        <v>329</v>
      </c>
      <c r="D526" s="17" t="s">
        <v>330</v>
      </c>
      <c r="E526" s="17"/>
      <c r="F526" s="13" t="n">
        <v>0</v>
      </c>
      <c r="G526" s="13" t="n">
        <v>5</v>
      </c>
      <c r="H526" s="18" t="n">
        <f aca="false">N(G526)-N(F526)</f>
        <v>5</v>
      </c>
      <c r="I526" s="13"/>
    </row>
    <row r="527" customFormat="false" ht="15" hidden="false" customHeight="false" outlineLevel="0" collapsed="false">
      <c r="B527" s="12" t="s">
        <v>42</v>
      </c>
      <c r="C527" s="12" t="s">
        <v>304</v>
      </c>
      <c r="D527" s="17" t="s">
        <v>305</v>
      </c>
      <c r="E527" s="17" t="s">
        <v>68</v>
      </c>
      <c r="F527" s="13" t="n">
        <v>3</v>
      </c>
      <c r="G527" s="13" t="n">
        <v>5</v>
      </c>
      <c r="H527" s="18" t="n">
        <f aca="false">N(G527)-N(F527)</f>
        <v>2</v>
      </c>
      <c r="I527" s="13" t="n">
        <v>3</v>
      </c>
    </row>
    <row r="528" customFormat="false" ht="15" hidden="false" customHeight="false" outlineLevel="0" collapsed="false">
      <c r="B528" s="12" t="s">
        <v>42</v>
      </c>
      <c r="C528" s="12" t="s">
        <v>115</v>
      </c>
      <c r="D528" s="17" t="s">
        <v>116</v>
      </c>
      <c r="E528" s="17" t="s">
        <v>68</v>
      </c>
      <c r="F528" s="13" t="n">
        <v>15</v>
      </c>
      <c r="G528" s="13" t="n">
        <v>0</v>
      </c>
      <c r="H528" s="18" t="n">
        <f aca="false">N(G528)-N(F528)</f>
        <v>-15</v>
      </c>
      <c r="I528" s="13" t="n">
        <v>15</v>
      </c>
    </row>
    <row r="529" customFormat="false" ht="15" hidden="false" customHeight="false" outlineLevel="0" collapsed="false">
      <c r="B529" s="12" t="s">
        <v>42</v>
      </c>
      <c r="C529" s="12" t="s">
        <v>332</v>
      </c>
      <c r="D529" s="17" t="s">
        <v>333</v>
      </c>
      <c r="E529" s="17"/>
      <c r="F529" s="13" t="n">
        <v>0</v>
      </c>
      <c r="G529" s="13" t="n">
        <v>5</v>
      </c>
      <c r="H529" s="18" t="n">
        <f aca="false">N(G529)-N(F529)</f>
        <v>5</v>
      </c>
      <c r="I529" s="13"/>
    </row>
    <row r="530" customFormat="false" ht="15" hidden="false" customHeight="false" outlineLevel="0" collapsed="false">
      <c r="B530" s="12" t="s">
        <v>42</v>
      </c>
      <c r="C530" s="12" t="s">
        <v>401</v>
      </c>
      <c r="D530" s="17" t="s">
        <v>402</v>
      </c>
      <c r="E530" s="17" t="s">
        <v>68</v>
      </c>
      <c r="F530" s="13" t="n">
        <v>0</v>
      </c>
      <c r="G530" s="13" t="n">
        <v>2</v>
      </c>
      <c r="H530" s="18" t="n">
        <f aca="false">N(G530)-N(F530)</f>
        <v>2</v>
      </c>
      <c r="I530" s="13" t="n">
        <v>2</v>
      </c>
    </row>
    <row r="531" customFormat="false" ht="15" hidden="false" customHeight="false" outlineLevel="0" collapsed="false">
      <c r="B531" s="12" t="s">
        <v>42</v>
      </c>
      <c r="C531" s="12" t="s">
        <v>118</v>
      </c>
      <c r="D531" s="17" t="s">
        <v>119</v>
      </c>
      <c r="E531" s="17" t="s">
        <v>68</v>
      </c>
      <c r="F531" s="13" t="n">
        <v>55</v>
      </c>
      <c r="G531" s="13" t="n">
        <v>58</v>
      </c>
      <c r="H531" s="18" t="n">
        <f aca="false">N(G531)-N(F531)</f>
        <v>3</v>
      </c>
      <c r="I531" s="13" t="n">
        <v>55</v>
      </c>
    </row>
    <row r="532" customFormat="false" ht="15" hidden="false" customHeight="false" outlineLevel="0" collapsed="false">
      <c r="B532" s="12" t="s">
        <v>42</v>
      </c>
      <c r="C532" s="12" t="s">
        <v>334</v>
      </c>
      <c r="D532" s="17" t="s">
        <v>335</v>
      </c>
      <c r="E532" s="17"/>
      <c r="F532" s="13" t="n">
        <v>0</v>
      </c>
      <c r="G532" s="13" t="n">
        <v>6</v>
      </c>
      <c r="H532" s="18" t="n">
        <f aca="false">N(G532)-N(F532)</f>
        <v>6</v>
      </c>
      <c r="I532" s="13"/>
    </row>
    <row r="533" customFormat="false" ht="15" hidden="false" customHeight="false" outlineLevel="0" collapsed="false">
      <c r="B533" s="12" t="s">
        <v>42</v>
      </c>
      <c r="C533" s="12" t="s">
        <v>204</v>
      </c>
      <c r="D533" s="17" t="s">
        <v>205</v>
      </c>
      <c r="E533" s="17" t="s">
        <v>68</v>
      </c>
      <c r="F533" s="13" t="n">
        <v>6</v>
      </c>
      <c r="G533" s="13" t="n">
        <v>5</v>
      </c>
      <c r="H533" s="18" t="n">
        <f aca="false">N(G533)-N(F533)</f>
        <v>-1</v>
      </c>
      <c r="I533" s="13" t="n">
        <v>6</v>
      </c>
    </row>
    <row r="534" customFormat="false" ht="15" hidden="false" customHeight="false" outlineLevel="0" collapsed="false">
      <c r="B534" s="12" t="s">
        <v>42</v>
      </c>
      <c r="C534" s="12" t="s">
        <v>99</v>
      </c>
      <c r="D534" s="17" t="s">
        <v>100</v>
      </c>
      <c r="E534" s="17" t="s">
        <v>68</v>
      </c>
      <c r="F534" s="13" t="n">
        <v>50</v>
      </c>
      <c r="G534" s="13" t="n">
        <v>49</v>
      </c>
      <c r="H534" s="18" t="n">
        <f aca="false">N(G534)-N(F534)</f>
        <v>-1</v>
      </c>
      <c r="I534" s="13" t="n">
        <v>50</v>
      </c>
    </row>
    <row r="535" customFormat="false" ht="15" hidden="false" customHeight="false" outlineLevel="0" collapsed="false">
      <c r="B535" s="12" t="s">
        <v>42</v>
      </c>
      <c r="C535" s="12" t="s">
        <v>173</v>
      </c>
      <c r="D535" s="17" t="s">
        <v>174</v>
      </c>
      <c r="E535" s="17" t="s">
        <v>68</v>
      </c>
      <c r="F535" s="13" t="n">
        <v>36</v>
      </c>
      <c r="G535" s="13" t="n">
        <v>42</v>
      </c>
      <c r="H535" s="18" t="n">
        <f aca="false">N(G535)-N(F535)</f>
        <v>6</v>
      </c>
      <c r="I535" s="13" t="n">
        <v>36</v>
      </c>
    </row>
    <row r="536" customFormat="false" ht="15" hidden="false" customHeight="false" outlineLevel="0" collapsed="false">
      <c r="B536" s="12" t="s">
        <v>42</v>
      </c>
      <c r="C536" s="12" t="s">
        <v>336</v>
      </c>
      <c r="D536" s="17" t="s">
        <v>337</v>
      </c>
      <c r="E536" s="17"/>
      <c r="F536" s="13" t="n">
        <v>0</v>
      </c>
      <c r="G536" s="13" t="n">
        <v>4</v>
      </c>
      <c r="H536" s="18" t="n">
        <f aca="false">N(G536)-N(F536)</f>
        <v>4</v>
      </c>
      <c r="I536" s="13"/>
    </row>
    <row r="537" customFormat="false" ht="15" hidden="false" customHeight="false" outlineLevel="0" collapsed="false">
      <c r="B537" s="12" t="s">
        <v>42</v>
      </c>
      <c r="C537" s="12" t="s">
        <v>338</v>
      </c>
      <c r="D537" s="17" t="s">
        <v>339</v>
      </c>
      <c r="E537" s="17"/>
      <c r="F537" s="13" t="n">
        <v>0</v>
      </c>
      <c r="G537" s="13" t="n">
        <v>2</v>
      </c>
      <c r="H537" s="18" t="n">
        <f aca="false">N(G537)-N(F537)</f>
        <v>2</v>
      </c>
      <c r="I537" s="13"/>
    </row>
    <row r="538" customFormat="false" ht="15" hidden="false" customHeight="false" outlineLevel="0" collapsed="false">
      <c r="B538" s="12" t="s">
        <v>42</v>
      </c>
      <c r="C538" s="12" t="s">
        <v>101</v>
      </c>
      <c r="D538" s="17" t="s">
        <v>102</v>
      </c>
      <c r="E538" s="17" t="s">
        <v>68</v>
      </c>
      <c r="F538" s="13" t="n">
        <v>0</v>
      </c>
      <c r="G538" s="13" t="n">
        <v>45</v>
      </c>
      <c r="H538" s="18" t="n">
        <f aca="false">N(G538)-N(F538)</f>
        <v>45</v>
      </c>
      <c r="I538" s="13" t="n">
        <v>25</v>
      </c>
    </row>
    <row r="539" customFormat="false" ht="15" hidden="false" customHeight="false" outlineLevel="0" collapsed="false">
      <c r="B539" s="12" t="s">
        <v>42</v>
      </c>
      <c r="C539" s="12" t="s">
        <v>121</v>
      </c>
      <c r="D539" s="17" t="s">
        <v>122</v>
      </c>
      <c r="E539" s="17" t="s">
        <v>68</v>
      </c>
      <c r="F539" s="13" t="n">
        <v>52</v>
      </c>
      <c r="G539" s="13" t="n">
        <v>52</v>
      </c>
      <c r="H539" s="18" t="n">
        <f aca="false">N(G539)-N(F539)</f>
        <v>0</v>
      </c>
      <c r="I539" s="13" t="n">
        <v>52</v>
      </c>
    </row>
    <row r="540" customFormat="false" ht="15" hidden="false" customHeight="false" outlineLevel="0" collapsed="false">
      <c r="B540" s="12" t="s">
        <v>42</v>
      </c>
      <c r="C540" s="12" t="s">
        <v>245</v>
      </c>
      <c r="D540" s="17" t="s">
        <v>246</v>
      </c>
      <c r="E540" s="17" t="s">
        <v>68</v>
      </c>
      <c r="F540" s="13" t="n">
        <v>20</v>
      </c>
      <c r="G540" s="13" t="n">
        <v>6</v>
      </c>
      <c r="H540" s="18" t="n">
        <f aca="false">N(G540)-N(F540)</f>
        <v>-14</v>
      </c>
      <c r="I540" s="13" t="n">
        <v>20</v>
      </c>
    </row>
    <row r="541" customFormat="false" ht="15" hidden="false" customHeight="false" outlineLevel="0" collapsed="false">
      <c r="B541" s="12" t="s">
        <v>42</v>
      </c>
      <c r="C541" s="12" t="s">
        <v>141</v>
      </c>
      <c r="D541" s="17" t="s">
        <v>142</v>
      </c>
      <c r="E541" s="17"/>
      <c r="F541" s="13" t="n">
        <v>0</v>
      </c>
      <c r="G541" s="13" t="n">
        <v>5</v>
      </c>
      <c r="H541" s="18" t="n">
        <f aca="false">N(G541)-N(F541)</f>
        <v>5</v>
      </c>
      <c r="I541" s="13"/>
    </row>
    <row r="542" customFormat="false" ht="15" hidden="false" customHeight="false" outlineLevel="0" collapsed="false">
      <c r="B542" s="12" t="s">
        <v>42</v>
      </c>
      <c r="C542" s="12" t="s">
        <v>207</v>
      </c>
      <c r="D542" s="17" t="s">
        <v>208</v>
      </c>
      <c r="E542" s="17" t="s">
        <v>68</v>
      </c>
      <c r="F542" s="13" t="n">
        <v>14</v>
      </c>
      <c r="G542" s="13" t="n">
        <v>14</v>
      </c>
      <c r="H542" s="18" t="n">
        <f aca="false">N(G542)-N(F542)</f>
        <v>0</v>
      </c>
      <c r="I542" s="13" t="n">
        <v>14</v>
      </c>
    </row>
    <row r="543" customFormat="false" ht="15" hidden="false" customHeight="false" outlineLevel="0" collapsed="false">
      <c r="B543" s="12" t="s">
        <v>42</v>
      </c>
      <c r="C543" s="12" t="s">
        <v>248</v>
      </c>
      <c r="D543" s="17" t="s">
        <v>133</v>
      </c>
      <c r="E543" s="17" t="s">
        <v>68</v>
      </c>
      <c r="F543" s="13" t="n">
        <v>10</v>
      </c>
      <c r="G543" s="13" t="n">
        <v>10</v>
      </c>
      <c r="H543" s="18" t="n">
        <f aca="false">N(G543)-N(F543)</f>
        <v>0</v>
      </c>
      <c r="I543" s="13" t="n">
        <v>10</v>
      </c>
    </row>
    <row r="544" customFormat="false" ht="15" hidden="false" customHeight="false" outlineLevel="0" collapsed="false">
      <c r="B544" s="12" t="s">
        <v>42</v>
      </c>
      <c r="C544" s="12" t="s">
        <v>210</v>
      </c>
      <c r="D544" s="17" t="s">
        <v>211</v>
      </c>
      <c r="E544" s="17" t="s">
        <v>68</v>
      </c>
      <c r="F544" s="13" t="n">
        <v>30</v>
      </c>
      <c r="G544" s="13" t="n">
        <v>5</v>
      </c>
      <c r="H544" s="18" t="n">
        <f aca="false">N(G544)-N(F544)</f>
        <v>-25</v>
      </c>
      <c r="I544" s="13" t="n">
        <v>30</v>
      </c>
    </row>
    <row r="545" customFormat="false" ht="15" hidden="false" customHeight="false" outlineLevel="0" collapsed="false">
      <c r="B545" s="12" t="s">
        <v>42</v>
      </c>
      <c r="C545" s="12" t="s">
        <v>176</v>
      </c>
      <c r="D545" s="17" t="s">
        <v>177</v>
      </c>
      <c r="E545" s="17"/>
      <c r="F545" s="13" t="n">
        <v>0</v>
      </c>
      <c r="G545" s="13" t="n">
        <v>6</v>
      </c>
      <c r="H545" s="18" t="n">
        <f aca="false">N(G545)-N(F545)</f>
        <v>6</v>
      </c>
      <c r="I545" s="13"/>
    </row>
    <row r="546" customFormat="false" ht="15" hidden="false" customHeight="false" outlineLevel="0" collapsed="false">
      <c r="B546" s="12" t="s">
        <v>42</v>
      </c>
      <c r="C546" s="12" t="s">
        <v>466</v>
      </c>
      <c r="D546" s="17" t="s">
        <v>467</v>
      </c>
      <c r="E546" s="17"/>
      <c r="F546" s="13" t="n">
        <v>0</v>
      </c>
      <c r="G546" s="13" t="n">
        <v>1</v>
      </c>
      <c r="H546" s="18" t="n">
        <f aca="false">N(G546)-N(F546)</f>
        <v>1</v>
      </c>
      <c r="I546" s="13"/>
    </row>
    <row r="547" customFormat="false" ht="15" hidden="false" customHeight="false" outlineLevel="0" collapsed="false">
      <c r="B547" s="12" t="s">
        <v>42</v>
      </c>
      <c r="C547" s="12" t="s">
        <v>212</v>
      </c>
      <c r="D547" s="17" t="s">
        <v>213</v>
      </c>
      <c r="E547" s="17"/>
      <c r="F547" s="13" t="n">
        <v>19</v>
      </c>
      <c r="G547" s="13" t="n">
        <v>14</v>
      </c>
      <c r="H547" s="18" t="n">
        <f aca="false">N(G547)-N(F547)</f>
        <v>-5</v>
      </c>
      <c r="I547" s="13"/>
    </row>
    <row r="548" customFormat="false" ht="15" hidden="false" customHeight="false" outlineLevel="0" collapsed="false">
      <c r="B548" s="12" t="s">
        <v>42</v>
      </c>
      <c r="C548" s="12" t="s">
        <v>340</v>
      </c>
      <c r="D548" s="17" t="s">
        <v>341</v>
      </c>
      <c r="E548" s="17"/>
      <c r="F548" s="13" t="n">
        <v>5</v>
      </c>
      <c r="G548" s="13" t="n">
        <v>2</v>
      </c>
      <c r="H548" s="18" t="n">
        <f aca="false">N(G548)-N(F548)</f>
        <v>-3</v>
      </c>
      <c r="I548" s="13"/>
    </row>
    <row r="549" customFormat="false" ht="15" hidden="false" customHeight="false" outlineLevel="0" collapsed="false">
      <c r="B549" s="12" t="s">
        <v>42</v>
      </c>
      <c r="C549" s="12" t="s">
        <v>103</v>
      </c>
      <c r="D549" s="17" t="s">
        <v>104</v>
      </c>
      <c r="E549" s="17" t="s">
        <v>68</v>
      </c>
      <c r="F549" s="13" t="n">
        <v>525</v>
      </c>
      <c r="G549" s="13" t="n">
        <v>255</v>
      </c>
      <c r="H549" s="18" t="n">
        <f aca="false">N(G549)-N(F549)</f>
        <v>-270</v>
      </c>
      <c r="I549" s="13" t="n">
        <v>525</v>
      </c>
    </row>
    <row r="550" customFormat="false" ht="15" hidden="false" customHeight="false" outlineLevel="0" collapsed="false">
      <c r="B550" s="12" t="s">
        <v>42</v>
      </c>
      <c r="C550" s="12" t="s">
        <v>215</v>
      </c>
      <c r="D550" s="17" t="s">
        <v>216</v>
      </c>
      <c r="E550" s="17" t="s">
        <v>68</v>
      </c>
      <c r="F550" s="13" t="n">
        <v>0</v>
      </c>
      <c r="G550" s="13" t="n">
        <v>5</v>
      </c>
      <c r="H550" s="18" t="n">
        <f aca="false">N(G550)-N(F550)</f>
        <v>5</v>
      </c>
      <c r="I550" s="13" t="n">
        <v>5</v>
      </c>
    </row>
    <row r="551" customFormat="false" ht="15" hidden="false" customHeight="false" outlineLevel="0" collapsed="false">
      <c r="B551" s="12" t="s">
        <v>42</v>
      </c>
      <c r="C551" s="12" t="s">
        <v>532</v>
      </c>
      <c r="D551" s="17" t="s">
        <v>533</v>
      </c>
      <c r="E551" s="17" t="s">
        <v>68</v>
      </c>
      <c r="F551" s="13" t="n">
        <v>2</v>
      </c>
      <c r="G551" s="13" t="n">
        <v>0</v>
      </c>
      <c r="H551" s="18" t="n">
        <f aca="false">N(G551)-N(F551)</f>
        <v>-2</v>
      </c>
      <c r="I551" s="13" t="n">
        <v>2</v>
      </c>
    </row>
    <row r="552" customFormat="false" ht="15" hidden="false" customHeight="false" outlineLevel="0" collapsed="false">
      <c r="B552" s="12" t="s">
        <v>42</v>
      </c>
      <c r="C552" s="12" t="s">
        <v>179</v>
      </c>
      <c r="D552" s="17" t="s">
        <v>180</v>
      </c>
      <c r="E552" s="17" t="s">
        <v>68</v>
      </c>
      <c r="F552" s="13" t="n">
        <v>5</v>
      </c>
      <c r="G552" s="13" t="n">
        <v>5</v>
      </c>
      <c r="H552" s="18" t="n">
        <f aca="false">N(G552)-N(F552)</f>
        <v>0</v>
      </c>
      <c r="I552" s="13" t="n">
        <v>5</v>
      </c>
    </row>
    <row r="553" customFormat="false" ht="15" hidden="false" customHeight="false" outlineLevel="0" collapsed="false">
      <c r="B553" s="12" t="s">
        <v>42</v>
      </c>
      <c r="C553" s="12" t="s">
        <v>342</v>
      </c>
      <c r="D553" s="17" t="s">
        <v>343</v>
      </c>
      <c r="E553" s="17"/>
      <c r="F553" s="13" t="n">
        <v>0</v>
      </c>
      <c r="G553" s="13" t="n">
        <v>3</v>
      </c>
      <c r="H553" s="18" t="n">
        <f aca="false">N(G553)-N(F553)</f>
        <v>3</v>
      </c>
      <c r="I553" s="13"/>
    </row>
    <row r="554" customFormat="false" ht="15" hidden="false" customHeight="false" outlineLevel="0" collapsed="false">
      <c r="B554" s="12" t="s">
        <v>42</v>
      </c>
      <c r="C554" s="12" t="s">
        <v>143</v>
      </c>
      <c r="D554" s="17" t="s">
        <v>144</v>
      </c>
      <c r="E554" s="17" t="s">
        <v>68</v>
      </c>
      <c r="F554" s="13" t="n">
        <v>4</v>
      </c>
      <c r="G554" s="13" t="n">
        <v>3</v>
      </c>
      <c r="H554" s="18" t="n">
        <f aca="false">N(G554)-N(F554)</f>
        <v>-1</v>
      </c>
      <c r="I554" s="13" t="n">
        <v>4</v>
      </c>
    </row>
    <row r="555" customFormat="false" ht="15" hidden="false" customHeight="false" outlineLevel="0" collapsed="false">
      <c r="B555" s="12" t="s">
        <v>42</v>
      </c>
      <c r="C555" s="12" t="s">
        <v>146</v>
      </c>
      <c r="D555" s="17" t="s">
        <v>147</v>
      </c>
      <c r="E555" s="17" t="s">
        <v>68</v>
      </c>
      <c r="F555" s="13" t="n">
        <v>2</v>
      </c>
      <c r="G555" s="13" t="n">
        <v>3</v>
      </c>
      <c r="H555" s="18" t="n">
        <f aca="false">N(G555)-N(F555)</f>
        <v>1</v>
      </c>
      <c r="I555" s="13" t="n">
        <v>2</v>
      </c>
    </row>
    <row r="556" customFormat="false" ht="15" hidden="false" customHeight="false" outlineLevel="0" collapsed="false">
      <c r="B556" s="12" t="s">
        <v>42</v>
      </c>
      <c r="C556" s="12" t="s">
        <v>182</v>
      </c>
      <c r="D556" s="17" t="s">
        <v>183</v>
      </c>
      <c r="E556" s="17" t="s">
        <v>68</v>
      </c>
      <c r="F556" s="13" t="n">
        <v>26</v>
      </c>
      <c r="G556" s="13" t="n">
        <v>18</v>
      </c>
      <c r="H556" s="18" t="n">
        <f aca="false">N(G556)-N(F556)</f>
        <v>-8</v>
      </c>
      <c r="I556" s="13" t="n">
        <v>26</v>
      </c>
    </row>
    <row r="557" customFormat="false" ht="15" hidden="false" customHeight="false" outlineLevel="0" collapsed="false">
      <c r="B557" s="12" t="s">
        <v>42</v>
      </c>
      <c r="C557" s="12" t="s">
        <v>372</v>
      </c>
      <c r="D557" s="17" t="s">
        <v>373</v>
      </c>
      <c r="E557" s="17"/>
      <c r="F557" s="13" t="n">
        <v>0</v>
      </c>
      <c r="G557" s="13" t="n">
        <v>1</v>
      </c>
      <c r="H557" s="18" t="n">
        <f aca="false">N(G557)-N(F557)</f>
        <v>1</v>
      </c>
      <c r="I557" s="13"/>
    </row>
    <row r="558" customFormat="false" ht="15" hidden="false" customHeight="false" outlineLevel="0" collapsed="false">
      <c r="B558" s="12" t="s">
        <v>42</v>
      </c>
      <c r="C558" s="12" t="s">
        <v>250</v>
      </c>
      <c r="D558" s="17" t="s">
        <v>251</v>
      </c>
      <c r="E558" s="17"/>
      <c r="F558" s="13" t="n">
        <v>50</v>
      </c>
      <c r="G558" s="13" t="n">
        <v>15</v>
      </c>
      <c r="H558" s="18" t="n">
        <f aca="false">N(G558)-N(F558)</f>
        <v>-35</v>
      </c>
      <c r="I558" s="13"/>
    </row>
    <row r="559" customFormat="false" ht="15" hidden="false" customHeight="false" outlineLevel="0" collapsed="false">
      <c r="B559" s="12" t="s">
        <v>42</v>
      </c>
      <c r="C559" s="12" t="s">
        <v>148</v>
      </c>
      <c r="D559" s="17" t="s">
        <v>149</v>
      </c>
      <c r="E559" s="17" t="s">
        <v>68</v>
      </c>
      <c r="F559" s="13" t="n">
        <v>100</v>
      </c>
      <c r="G559" s="13" t="n">
        <v>122</v>
      </c>
      <c r="H559" s="18" t="n">
        <f aca="false">N(G559)-N(F559)</f>
        <v>22</v>
      </c>
      <c r="I559" s="13" t="n">
        <v>100</v>
      </c>
    </row>
    <row r="560" customFormat="false" ht="15" hidden="false" customHeight="false" outlineLevel="0" collapsed="false">
      <c r="B560" s="12" t="s">
        <v>42</v>
      </c>
      <c r="C560" s="12" t="s">
        <v>345</v>
      </c>
      <c r="D560" s="17" t="s">
        <v>346</v>
      </c>
      <c r="E560" s="17"/>
      <c r="F560" s="13" t="n">
        <v>0</v>
      </c>
      <c r="G560" s="13" t="n">
        <v>12</v>
      </c>
      <c r="H560" s="18" t="n">
        <f aca="false">N(G560)-N(F560)</f>
        <v>12</v>
      </c>
      <c r="I560" s="13"/>
    </row>
    <row r="561" customFormat="false" ht="15" hidden="false" customHeight="false" outlineLevel="0" collapsed="false">
      <c r="B561" s="12" t="s">
        <v>42</v>
      </c>
      <c r="C561" s="12" t="s">
        <v>347</v>
      </c>
      <c r="D561" s="17" t="s">
        <v>348</v>
      </c>
      <c r="E561" s="17"/>
      <c r="F561" s="13" t="n">
        <v>0</v>
      </c>
      <c r="G561" s="13" t="n">
        <v>192</v>
      </c>
      <c r="H561" s="18" t="n">
        <f aca="false">N(G561)-N(F561)</f>
        <v>192</v>
      </c>
      <c r="I561" s="13"/>
    </row>
    <row r="562" customFormat="false" ht="15" hidden="false" customHeight="false" outlineLevel="0" collapsed="false">
      <c r="B562" s="12" t="s">
        <v>42</v>
      </c>
      <c r="C562" s="12" t="s">
        <v>350</v>
      </c>
      <c r="D562" s="17" t="s">
        <v>351</v>
      </c>
      <c r="E562" s="17" t="s">
        <v>68</v>
      </c>
      <c r="F562" s="13" t="n">
        <v>10</v>
      </c>
      <c r="G562" s="13" t="n">
        <v>0</v>
      </c>
      <c r="H562" s="18" t="n">
        <f aca="false">N(G562)-N(F562)</f>
        <v>-10</v>
      </c>
      <c r="I562" s="13" t="n">
        <v>10</v>
      </c>
    </row>
    <row r="563" customFormat="false" ht="15" hidden="false" customHeight="false" outlineLevel="0" collapsed="false">
      <c r="B563" s="12" t="s">
        <v>42</v>
      </c>
      <c r="C563" s="12" t="s">
        <v>123</v>
      </c>
      <c r="D563" s="17" t="s">
        <v>124</v>
      </c>
      <c r="E563" s="17"/>
      <c r="F563" s="13" t="n">
        <v>0</v>
      </c>
      <c r="G563" s="13" t="n">
        <v>600</v>
      </c>
      <c r="H563" s="18" t="n">
        <f aca="false">N(G563)-N(F563)</f>
        <v>600</v>
      </c>
      <c r="I563" s="13"/>
    </row>
    <row r="564" customFormat="false" ht="15" hidden="false" customHeight="false" outlineLevel="0" collapsed="false">
      <c r="B564" s="12" t="s">
        <v>42</v>
      </c>
      <c r="C564" s="12" t="s">
        <v>352</v>
      </c>
      <c r="D564" s="17" t="s">
        <v>353</v>
      </c>
      <c r="E564" s="17"/>
      <c r="F564" s="13" t="n">
        <v>0</v>
      </c>
      <c r="G564" s="13" t="n">
        <v>12</v>
      </c>
      <c r="H564" s="18" t="n">
        <f aca="false">N(G564)-N(F564)</f>
        <v>12</v>
      </c>
      <c r="I564" s="13"/>
    </row>
    <row r="565" customFormat="false" ht="15" hidden="false" customHeight="false" outlineLevel="0" collapsed="false">
      <c r="B565" s="12" t="s">
        <v>42</v>
      </c>
      <c r="C565" s="12" t="s">
        <v>105</v>
      </c>
      <c r="D565" s="17" t="s">
        <v>106</v>
      </c>
      <c r="E565" s="17" t="s">
        <v>68</v>
      </c>
      <c r="F565" s="13" t="n">
        <v>22</v>
      </c>
      <c r="G565" s="13" t="n">
        <v>19</v>
      </c>
      <c r="H565" s="18" t="n">
        <f aca="false">N(G565)-N(F565)</f>
        <v>-3</v>
      </c>
      <c r="I565" s="13" t="n">
        <v>22</v>
      </c>
    </row>
    <row r="566" customFormat="false" ht="15" hidden="false" customHeight="false" outlineLevel="0" collapsed="false">
      <c r="B566" s="12" t="s">
        <v>42</v>
      </c>
      <c r="C566" s="12" t="s">
        <v>107</v>
      </c>
      <c r="D566" s="17" t="s">
        <v>108</v>
      </c>
      <c r="E566" s="17"/>
      <c r="F566" s="13" t="n">
        <v>0</v>
      </c>
      <c r="G566" s="13" t="n">
        <v>15</v>
      </c>
      <c r="H566" s="18" t="n">
        <f aca="false">N(G566)-N(F566)</f>
        <v>15</v>
      </c>
      <c r="I566" s="13"/>
    </row>
    <row r="567" customFormat="false" ht="15" hidden="false" customHeight="false" outlineLevel="0" collapsed="false">
      <c r="B567" s="12" t="s">
        <v>42</v>
      </c>
      <c r="C567" s="12" t="s">
        <v>307</v>
      </c>
      <c r="D567" s="17" t="s">
        <v>308</v>
      </c>
      <c r="E567" s="17" t="s">
        <v>68</v>
      </c>
      <c r="F567" s="13" t="n">
        <v>26</v>
      </c>
      <c r="G567" s="13" t="n">
        <v>0</v>
      </c>
      <c r="H567" s="18" t="n">
        <f aca="false">N(G567)-N(F567)</f>
        <v>-26</v>
      </c>
      <c r="I567" s="13" t="n">
        <v>26</v>
      </c>
    </row>
    <row r="568" customFormat="false" ht="15" hidden="false" customHeight="false" outlineLevel="0" collapsed="false">
      <c r="B568" s="12" t="s">
        <v>42</v>
      </c>
      <c r="C568" s="12" t="s">
        <v>310</v>
      </c>
      <c r="D568" s="17" t="s">
        <v>311</v>
      </c>
      <c r="E568" s="17"/>
      <c r="F568" s="13" t="n">
        <v>0</v>
      </c>
      <c r="G568" s="13" t="n">
        <v>3</v>
      </c>
      <c r="H568" s="18" t="n">
        <f aca="false">N(G568)-N(F568)</f>
        <v>3</v>
      </c>
      <c r="I568" s="13"/>
    </row>
    <row r="569" customFormat="false" ht="15" hidden="false" customHeight="false" outlineLevel="0" collapsed="false">
      <c r="B569" s="12" t="s">
        <v>42</v>
      </c>
      <c r="C569" s="12" t="s">
        <v>354</v>
      </c>
      <c r="D569" s="17" t="s">
        <v>355</v>
      </c>
      <c r="E569" s="17"/>
      <c r="F569" s="13" t="n">
        <v>0</v>
      </c>
      <c r="G569" s="13" t="n">
        <v>2</v>
      </c>
      <c r="H569" s="18" t="n">
        <f aca="false">N(G569)-N(F569)</f>
        <v>2</v>
      </c>
      <c r="I569" s="13"/>
    </row>
    <row r="570" customFormat="false" ht="15" hidden="false" customHeight="false" outlineLevel="0" collapsed="false">
      <c r="B570" s="12" t="s">
        <v>42</v>
      </c>
      <c r="C570" s="12" t="s">
        <v>534</v>
      </c>
      <c r="D570" s="17" t="s">
        <v>535</v>
      </c>
      <c r="E570" s="17" t="s">
        <v>68</v>
      </c>
      <c r="F570" s="13" t="n">
        <v>15</v>
      </c>
      <c r="G570" s="13" t="n">
        <v>0</v>
      </c>
      <c r="H570" s="18" t="n">
        <f aca="false">N(G570)-N(F570)</f>
        <v>-15</v>
      </c>
      <c r="I570" s="13" t="n">
        <v>15</v>
      </c>
    </row>
    <row r="571" customFormat="false" ht="15" hidden="false" customHeight="false" outlineLevel="0" collapsed="false">
      <c r="B571" s="12" t="s">
        <v>42</v>
      </c>
      <c r="C571" s="12" t="s">
        <v>150</v>
      </c>
      <c r="D571" s="17" t="s">
        <v>151</v>
      </c>
      <c r="E571" s="17" t="s">
        <v>68</v>
      </c>
      <c r="F571" s="13" t="n">
        <v>100</v>
      </c>
      <c r="G571" s="13" t="n">
        <v>45</v>
      </c>
      <c r="H571" s="18" t="n">
        <f aca="false">N(G571)-N(F571)</f>
        <v>-55</v>
      </c>
      <c r="I571" s="13" t="n">
        <v>100</v>
      </c>
    </row>
    <row r="572" customFormat="false" ht="15" hidden="false" customHeight="false" outlineLevel="0" collapsed="false">
      <c r="B572" s="12" t="s">
        <v>42</v>
      </c>
      <c r="C572" s="12" t="s">
        <v>540</v>
      </c>
      <c r="D572" s="17" t="s">
        <v>541</v>
      </c>
      <c r="E572" s="17"/>
      <c r="F572" s="13" t="n">
        <v>0</v>
      </c>
      <c r="G572" s="13" t="n">
        <v>1</v>
      </c>
      <c r="H572" s="18" t="n">
        <f aca="false">N(G572)-N(F572)</f>
        <v>1</v>
      </c>
      <c r="I572" s="13"/>
    </row>
    <row r="573" customFormat="false" ht="15" hidden="false" customHeight="false" outlineLevel="0" collapsed="false">
      <c r="B573" s="12" t="s">
        <v>42</v>
      </c>
      <c r="C573" s="12" t="s">
        <v>184</v>
      </c>
      <c r="D573" s="17" t="s">
        <v>185</v>
      </c>
      <c r="E573" s="17" t="s">
        <v>68</v>
      </c>
      <c r="F573" s="13" t="n">
        <v>26</v>
      </c>
      <c r="G573" s="13" t="n">
        <v>5</v>
      </c>
      <c r="H573" s="18" t="n">
        <f aca="false">N(G573)-N(F573)</f>
        <v>-21</v>
      </c>
      <c r="I573" s="13" t="n">
        <v>26</v>
      </c>
    </row>
    <row r="574" customFormat="false" ht="15" hidden="false" customHeight="false" outlineLevel="0" collapsed="false">
      <c r="B574" s="12" t="s">
        <v>42</v>
      </c>
      <c r="C574" s="12" t="s">
        <v>404</v>
      </c>
      <c r="D574" s="17" t="s">
        <v>405</v>
      </c>
      <c r="E574" s="17"/>
      <c r="F574" s="13" t="n">
        <v>0</v>
      </c>
      <c r="G574" s="13" t="n">
        <v>1</v>
      </c>
      <c r="H574" s="18" t="n">
        <f aca="false">N(G574)-N(F574)</f>
        <v>1</v>
      </c>
      <c r="I574" s="13"/>
    </row>
    <row r="575" customFormat="false" ht="15" hidden="false" customHeight="false" outlineLevel="0" collapsed="false">
      <c r="B575" s="12" t="s">
        <v>42</v>
      </c>
      <c r="C575" s="12" t="s">
        <v>359</v>
      </c>
      <c r="D575" s="17" t="s">
        <v>360</v>
      </c>
      <c r="E575" s="17"/>
      <c r="F575" s="13" t="n">
        <v>0</v>
      </c>
      <c r="G575" s="13" t="n">
        <v>2</v>
      </c>
      <c r="H575" s="18" t="n">
        <f aca="false">N(G575)-N(F575)</f>
        <v>2</v>
      </c>
      <c r="I575" s="13"/>
    </row>
    <row r="576" customFormat="false" ht="15" hidden="false" customHeight="false" outlineLevel="0" collapsed="false">
      <c r="B576" s="12" t="s">
        <v>42</v>
      </c>
      <c r="C576" s="12" t="s">
        <v>252</v>
      </c>
      <c r="D576" s="17" t="s">
        <v>253</v>
      </c>
      <c r="E576" s="17"/>
      <c r="F576" s="13" t="n">
        <v>0</v>
      </c>
      <c r="G576" s="13" t="n">
        <v>3</v>
      </c>
      <c r="H576" s="18" t="n">
        <f aca="false">N(G576)-N(F576)</f>
        <v>3</v>
      </c>
      <c r="I576" s="13"/>
    </row>
    <row r="577" customFormat="false" ht="15" hidden="false" customHeight="false" outlineLevel="0" collapsed="false">
      <c r="B577" s="12" t="s">
        <v>42</v>
      </c>
      <c r="C577" s="12" t="s">
        <v>152</v>
      </c>
      <c r="D577" s="17" t="s">
        <v>153</v>
      </c>
      <c r="E577" s="17"/>
      <c r="F577" s="13" t="n">
        <v>0</v>
      </c>
      <c r="G577" s="13" t="n">
        <v>7</v>
      </c>
      <c r="H577" s="18" t="n">
        <f aca="false">N(G577)-N(F577)</f>
        <v>7</v>
      </c>
      <c r="I577" s="13"/>
    </row>
    <row r="578" customFormat="false" ht="15" hidden="false" customHeight="false" outlineLevel="0" collapsed="false">
      <c r="B578" s="12" t="s">
        <v>42</v>
      </c>
      <c r="C578" s="12" t="s">
        <v>155</v>
      </c>
      <c r="D578" s="17" t="s">
        <v>156</v>
      </c>
      <c r="E578" s="17" t="s">
        <v>68</v>
      </c>
      <c r="F578" s="13" t="n">
        <v>10</v>
      </c>
      <c r="G578" s="13" t="n">
        <v>11</v>
      </c>
      <c r="H578" s="18" t="n">
        <f aca="false">N(G578)-N(F578)</f>
        <v>1</v>
      </c>
      <c r="I578" s="13" t="n">
        <v>10</v>
      </c>
    </row>
    <row r="579" customFormat="false" ht="15" hidden="false" customHeight="false" outlineLevel="0" collapsed="false">
      <c r="B579" s="12" t="s">
        <v>42</v>
      </c>
      <c r="C579" s="12" t="s">
        <v>255</v>
      </c>
      <c r="D579" s="17" t="s">
        <v>256</v>
      </c>
      <c r="E579" s="17" t="s">
        <v>94</v>
      </c>
      <c r="F579" s="13" t="n">
        <v>1310</v>
      </c>
      <c r="G579" s="13" t="n">
        <v>0</v>
      </c>
      <c r="H579" s="18" t="n">
        <f aca="false">N(G579)-N(F579)</f>
        <v>-1310</v>
      </c>
      <c r="I579" s="13" t="n">
        <v>1315.1211</v>
      </c>
    </row>
    <row r="580" customFormat="false" ht="15" hidden="false" customHeight="false" outlineLevel="0" collapsed="false">
      <c r="B580" s="12" t="s">
        <v>42</v>
      </c>
      <c r="C580" s="12" t="s">
        <v>633</v>
      </c>
      <c r="D580" s="17" t="s">
        <v>634</v>
      </c>
      <c r="E580" s="17"/>
      <c r="F580" s="13" t="n">
        <v>0</v>
      </c>
      <c r="G580" s="13" t="n">
        <v>1</v>
      </c>
      <c r="H580" s="18" t="n">
        <f aca="false">N(G580)-N(F580)</f>
        <v>1</v>
      </c>
      <c r="I580" s="13"/>
    </row>
    <row r="581" customFormat="false" ht="15" hidden="false" customHeight="false" outlineLevel="0" collapsed="false">
      <c r="B581" s="12" t="s">
        <v>42</v>
      </c>
      <c r="C581" s="12" t="s">
        <v>361</v>
      </c>
      <c r="D581" s="17" t="s">
        <v>362</v>
      </c>
      <c r="E581" s="17"/>
      <c r="F581" s="13" t="n">
        <v>0</v>
      </c>
      <c r="G581" s="13" t="n">
        <v>11</v>
      </c>
      <c r="H581" s="18" t="n">
        <f aca="false">N(G581)-N(F581)</f>
        <v>11</v>
      </c>
      <c r="I581" s="13"/>
    </row>
    <row r="582" customFormat="false" ht="15" hidden="false" customHeight="false" outlineLevel="0" collapsed="false">
      <c r="B582" s="12" t="s">
        <v>42</v>
      </c>
      <c r="C582" s="12" t="s">
        <v>475</v>
      </c>
      <c r="D582" s="17" t="s">
        <v>476</v>
      </c>
      <c r="E582" s="17"/>
      <c r="F582" s="13" t="n">
        <v>0</v>
      </c>
      <c r="G582" s="13" t="n">
        <v>1</v>
      </c>
      <c r="H582" s="18" t="n">
        <f aca="false">N(G582)-N(F582)</f>
        <v>1</v>
      </c>
      <c r="I582" s="13"/>
    </row>
    <row r="583" customFormat="false" ht="15" hidden="false" customHeight="false" outlineLevel="0" collapsed="false">
      <c r="B583" s="12" t="s">
        <v>42</v>
      </c>
      <c r="C583" s="12" t="s">
        <v>157</v>
      </c>
      <c r="D583" s="17" t="s">
        <v>158</v>
      </c>
      <c r="E583" s="17" t="s">
        <v>68</v>
      </c>
      <c r="F583" s="13" t="n">
        <v>25</v>
      </c>
      <c r="G583" s="13" t="n">
        <v>7</v>
      </c>
      <c r="H583" s="18" t="n">
        <f aca="false">N(G583)-N(F583)</f>
        <v>-18</v>
      </c>
      <c r="I583" s="13" t="n">
        <v>25</v>
      </c>
    </row>
    <row r="584" customFormat="false" ht="15" hidden="false" customHeight="false" outlineLevel="0" collapsed="false">
      <c r="B584" s="12" t="s">
        <v>42</v>
      </c>
      <c r="C584" s="12" t="s">
        <v>218</v>
      </c>
      <c r="D584" s="17" t="s">
        <v>219</v>
      </c>
      <c r="E584" s="17"/>
      <c r="F584" s="13" t="n">
        <v>7</v>
      </c>
      <c r="G584" s="13" t="n">
        <v>3</v>
      </c>
      <c r="H584" s="18" t="n">
        <f aca="false">N(G584)-N(F584)</f>
        <v>-4</v>
      </c>
      <c r="I584" s="13"/>
    </row>
    <row r="585" customFormat="false" ht="15" hidden="false" customHeight="false" outlineLevel="0" collapsed="false">
      <c r="B585" s="12" t="s">
        <v>42</v>
      </c>
      <c r="C585" s="12" t="s">
        <v>221</v>
      </c>
      <c r="D585" s="17" t="s">
        <v>222</v>
      </c>
      <c r="E585" s="17" t="s">
        <v>68</v>
      </c>
      <c r="F585" s="13" t="n">
        <v>0</v>
      </c>
      <c r="G585" s="13" t="n">
        <v>4</v>
      </c>
      <c r="H585" s="18" t="n">
        <f aca="false">N(G585)-N(F585)</f>
        <v>4</v>
      </c>
      <c r="I585" s="13" t="n">
        <v>7</v>
      </c>
    </row>
    <row r="586" customFormat="false" ht="15" hidden="false" customHeight="false" outlineLevel="0" collapsed="false">
      <c r="B586" s="12" t="s">
        <v>42</v>
      </c>
      <c r="C586" s="12" t="s">
        <v>159</v>
      </c>
      <c r="D586" s="17" t="s">
        <v>160</v>
      </c>
      <c r="E586" s="17" t="s">
        <v>68</v>
      </c>
      <c r="F586" s="13" t="n">
        <v>1</v>
      </c>
      <c r="G586" s="13" t="n">
        <v>2</v>
      </c>
      <c r="H586" s="18" t="n">
        <f aca="false">N(G586)-N(F586)</f>
        <v>1</v>
      </c>
      <c r="I586" s="13" t="n">
        <v>1</v>
      </c>
    </row>
    <row r="587" customFormat="false" ht="15" hidden="false" customHeight="false" outlineLevel="0" collapsed="false">
      <c r="B587" s="12" t="s">
        <v>42</v>
      </c>
      <c r="C587" s="12" t="s">
        <v>312</v>
      </c>
      <c r="D587" s="17" t="s">
        <v>160</v>
      </c>
      <c r="E587" s="17" t="s">
        <v>68</v>
      </c>
      <c r="F587" s="13" t="n">
        <v>13</v>
      </c>
      <c r="G587" s="13" t="n">
        <v>10</v>
      </c>
      <c r="H587" s="18" t="n">
        <f aca="false">N(G587)-N(F587)</f>
        <v>-3</v>
      </c>
      <c r="I587" s="13" t="n">
        <v>13</v>
      </c>
    </row>
    <row r="588" customFormat="false" ht="15" hidden="false" customHeight="false" outlineLevel="0" collapsed="false">
      <c r="B588" s="12" t="s">
        <v>42</v>
      </c>
      <c r="C588" s="12" t="s">
        <v>407</v>
      </c>
      <c r="D588" s="17" t="s">
        <v>408</v>
      </c>
      <c r="E588" s="17"/>
      <c r="F588" s="13" t="n">
        <v>0</v>
      </c>
      <c r="G588" s="13" t="n">
        <v>6</v>
      </c>
      <c r="H588" s="18" t="n">
        <f aca="false">N(G588)-N(F588)</f>
        <v>6</v>
      </c>
      <c r="I588" s="13"/>
    </row>
    <row r="589" customFormat="false" ht="15" hidden="false" customHeight="false" outlineLevel="0" collapsed="false">
      <c r="B589" s="12" t="s">
        <v>42</v>
      </c>
      <c r="C589" s="12" t="s">
        <v>125</v>
      </c>
      <c r="D589" s="17" t="s">
        <v>126</v>
      </c>
      <c r="E589" s="17" t="s">
        <v>68</v>
      </c>
      <c r="F589" s="13" t="n">
        <v>12</v>
      </c>
      <c r="G589" s="13" t="n">
        <v>10</v>
      </c>
      <c r="H589" s="18" t="n">
        <f aca="false">N(G589)-N(F589)</f>
        <v>-2</v>
      </c>
      <c r="I589" s="13" t="n">
        <v>12</v>
      </c>
    </row>
    <row r="590" customFormat="false" ht="15" hidden="false" customHeight="false" outlineLevel="0" collapsed="false">
      <c r="B590" s="12" t="s">
        <v>42</v>
      </c>
      <c r="C590" s="12" t="s">
        <v>127</v>
      </c>
      <c r="D590" s="17" t="s">
        <v>128</v>
      </c>
      <c r="E590" s="17"/>
      <c r="F590" s="13" t="n">
        <v>0</v>
      </c>
      <c r="G590" s="13" t="n">
        <v>30</v>
      </c>
      <c r="H590" s="18" t="n">
        <f aca="false">N(G590)-N(F590)</f>
        <v>30</v>
      </c>
      <c r="I590" s="13"/>
    </row>
    <row r="591" customFormat="false" ht="15" hidden="false" customHeight="false" outlineLevel="0" collapsed="false">
      <c r="B591" s="12" t="s">
        <v>42</v>
      </c>
      <c r="C591" s="12" t="s">
        <v>258</v>
      </c>
      <c r="D591" s="17" t="s">
        <v>259</v>
      </c>
      <c r="E591" s="17" t="s">
        <v>68</v>
      </c>
      <c r="F591" s="13" t="n">
        <v>50</v>
      </c>
      <c r="G591" s="13" t="n">
        <v>34</v>
      </c>
      <c r="H591" s="18" t="n">
        <f aca="false">N(G591)-N(F591)</f>
        <v>-16</v>
      </c>
      <c r="I591" s="13" t="n">
        <v>50</v>
      </c>
    </row>
    <row r="592" customFormat="false" ht="15" hidden="false" customHeight="false" outlineLevel="0" collapsed="false">
      <c r="B592" s="12" t="s">
        <v>42</v>
      </c>
      <c r="C592" s="12" t="s">
        <v>260</v>
      </c>
      <c r="D592" s="17" t="s">
        <v>261</v>
      </c>
      <c r="E592" s="17"/>
      <c r="F592" s="13" t="n">
        <v>13</v>
      </c>
      <c r="G592" s="13" t="n">
        <v>0</v>
      </c>
      <c r="H592" s="18" t="n">
        <f aca="false">N(G592)-N(F592)</f>
        <v>-13</v>
      </c>
      <c r="I592" s="13"/>
    </row>
    <row r="593" customFormat="false" ht="15" hidden="false" customHeight="false" outlineLevel="0" collapsed="false">
      <c r="B593" s="12" t="s">
        <v>42</v>
      </c>
      <c r="C593" s="12" t="s">
        <v>224</v>
      </c>
      <c r="D593" s="17" t="s">
        <v>225</v>
      </c>
      <c r="E593" s="17"/>
      <c r="F593" s="13" t="n">
        <v>24</v>
      </c>
      <c r="G593" s="13" t="n">
        <v>27</v>
      </c>
      <c r="H593" s="18" t="n">
        <f aca="false">N(G593)-N(F593)</f>
        <v>3</v>
      </c>
      <c r="I593" s="13"/>
    </row>
    <row r="594" customFormat="false" ht="15" hidden="false" customHeight="false" outlineLevel="0" collapsed="false">
      <c r="B594" s="12" t="s">
        <v>42</v>
      </c>
      <c r="C594" s="12" t="s">
        <v>364</v>
      </c>
      <c r="D594" s="17" t="s">
        <v>365</v>
      </c>
      <c r="E594" s="17" t="s">
        <v>68</v>
      </c>
      <c r="F594" s="13" t="n">
        <v>3</v>
      </c>
      <c r="G594" s="13" t="n">
        <v>5</v>
      </c>
      <c r="H594" s="18" t="n">
        <f aca="false">N(G594)-N(F594)</f>
        <v>2</v>
      </c>
      <c r="I594" s="13" t="n">
        <v>3</v>
      </c>
    </row>
    <row r="595" customFormat="false" ht="15" hidden="false" customHeight="false" outlineLevel="0" collapsed="false">
      <c r="B595" s="12" t="s">
        <v>42</v>
      </c>
      <c r="C595" s="12" t="s">
        <v>380</v>
      </c>
      <c r="D595" s="17" t="s">
        <v>381</v>
      </c>
      <c r="E595" s="17"/>
      <c r="F595" s="13" t="n">
        <v>13</v>
      </c>
      <c r="G595" s="13" t="n">
        <v>0</v>
      </c>
      <c r="H595" s="18" t="n">
        <f aca="false">N(G595)-N(F595)</f>
        <v>-13</v>
      </c>
      <c r="I595" s="13"/>
    </row>
    <row r="596" customFormat="false" ht="15" hidden="false" customHeight="false" outlineLevel="0" collapsed="false">
      <c r="B596" s="12" t="s">
        <v>42</v>
      </c>
      <c r="C596" s="12" t="s">
        <v>277</v>
      </c>
      <c r="D596" s="17" t="s">
        <v>278</v>
      </c>
      <c r="E596" s="17"/>
      <c r="F596" s="13" t="n">
        <v>32</v>
      </c>
      <c r="G596" s="13" t="n">
        <v>30</v>
      </c>
      <c r="H596" s="18" t="n">
        <f aca="false">N(G596)-N(F596)</f>
        <v>-2</v>
      </c>
      <c r="I596" s="13"/>
    </row>
    <row r="597" customFormat="false" ht="15" hidden="false" customHeight="false" outlineLevel="0" collapsed="false">
      <c r="B597" s="12" t="s">
        <v>42</v>
      </c>
      <c r="C597" s="12" t="s">
        <v>161</v>
      </c>
      <c r="D597" s="17" t="s">
        <v>162</v>
      </c>
      <c r="E597" s="17" t="s">
        <v>94</v>
      </c>
      <c r="F597" s="13" t="n">
        <v>0</v>
      </c>
      <c r="G597" s="13" t="n">
        <v>1754</v>
      </c>
      <c r="H597" s="18" t="n">
        <f aca="false">N(G597)-N(F597)</f>
        <v>1754</v>
      </c>
      <c r="I597" s="13" t="n">
        <v>1063.8298</v>
      </c>
    </row>
    <row r="598" customFormat="false" ht="15" hidden="false" customHeight="false" outlineLevel="0" collapsed="false">
      <c r="B598" s="12" t="s">
        <v>42</v>
      </c>
      <c r="C598" s="12" t="s">
        <v>263</v>
      </c>
      <c r="D598" s="17" t="s">
        <v>264</v>
      </c>
      <c r="E598" s="17"/>
      <c r="F598" s="13" t="n">
        <v>0</v>
      </c>
      <c r="G598" s="13" t="n">
        <v>2</v>
      </c>
      <c r="H598" s="18" t="n">
        <f aca="false">N(G598)-N(F598)</f>
        <v>2</v>
      </c>
      <c r="I598" s="13"/>
    </row>
    <row r="599" customFormat="false" ht="15" hidden="false" customHeight="false" outlineLevel="0" collapsed="false">
      <c r="B599" s="12" t="s">
        <v>42</v>
      </c>
      <c r="C599" s="12" t="s">
        <v>265</v>
      </c>
      <c r="D599" s="17" t="s">
        <v>266</v>
      </c>
      <c r="E599" s="17" t="s">
        <v>68</v>
      </c>
      <c r="F599" s="13" t="n">
        <v>10</v>
      </c>
      <c r="G599" s="13" t="n">
        <v>11</v>
      </c>
      <c r="H599" s="18" t="n">
        <f aca="false">N(G599)-N(F599)</f>
        <v>1</v>
      </c>
      <c r="I599" s="13" t="n">
        <v>10</v>
      </c>
    </row>
    <row r="600" customFormat="false" ht="15" hidden="false" customHeight="false" outlineLevel="0" collapsed="false">
      <c r="B600" s="12" t="s">
        <v>42</v>
      </c>
      <c r="C600" s="12" t="s">
        <v>226</v>
      </c>
      <c r="D600" s="17" t="s">
        <v>227</v>
      </c>
      <c r="E600" s="17" t="s">
        <v>68</v>
      </c>
      <c r="F600" s="13" t="n">
        <v>0</v>
      </c>
      <c r="G600" s="13" t="n">
        <v>1</v>
      </c>
      <c r="H600" s="18" t="n">
        <f aca="false">N(G600)-N(F600)</f>
        <v>1</v>
      </c>
      <c r="I600" s="13" t="n">
        <v>1</v>
      </c>
    </row>
    <row r="601" customFormat="false" ht="15" hidden="false" customHeight="false" outlineLevel="0" collapsed="false">
      <c r="B601" s="12" t="s">
        <v>42</v>
      </c>
      <c r="C601" s="12" t="s">
        <v>280</v>
      </c>
      <c r="D601" s="17" t="s">
        <v>227</v>
      </c>
      <c r="E601" s="17" t="s">
        <v>68</v>
      </c>
      <c r="F601" s="13" t="n">
        <v>5</v>
      </c>
      <c r="G601" s="13" t="n">
        <v>4</v>
      </c>
      <c r="H601" s="18" t="n">
        <f aca="false">N(G601)-N(F601)</f>
        <v>-1</v>
      </c>
      <c r="I601" s="13" t="n">
        <v>4</v>
      </c>
    </row>
    <row r="602" customFormat="false" ht="15" hidden="false" customHeight="false" outlineLevel="0" collapsed="false">
      <c r="B602" s="12" t="s">
        <v>43</v>
      </c>
      <c r="C602" s="12" t="s">
        <v>66</v>
      </c>
      <c r="D602" s="17" t="s">
        <v>67</v>
      </c>
      <c r="E602" s="17"/>
      <c r="F602" s="13" t="n">
        <v>48</v>
      </c>
      <c r="G602" s="13" t="n">
        <v>39</v>
      </c>
      <c r="H602" s="18" t="n">
        <f aca="false">N(G602)-N(F602)</f>
        <v>-9</v>
      </c>
      <c r="I602" s="13"/>
    </row>
    <row r="603" customFormat="false" ht="15" hidden="false" customHeight="false" outlineLevel="0" collapsed="false">
      <c r="B603" s="12" t="s">
        <v>43</v>
      </c>
      <c r="C603" s="12" t="s">
        <v>187</v>
      </c>
      <c r="D603" s="17" t="s">
        <v>188</v>
      </c>
      <c r="E603" s="17"/>
      <c r="F603" s="13" t="n">
        <v>0</v>
      </c>
      <c r="G603" s="13" t="n">
        <v>3</v>
      </c>
      <c r="H603" s="18" t="n">
        <f aca="false">N(G603)-N(F603)</f>
        <v>3</v>
      </c>
      <c r="I603" s="13"/>
    </row>
    <row r="604" customFormat="false" ht="15" hidden="false" customHeight="false" outlineLevel="0" collapsed="false">
      <c r="B604" s="12" t="s">
        <v>43</v>
      </c>
      <c r="C604" s="12" t="s">
        <v>551</v>
      </c>
      <c r="D604" s="17" t="s">
        <v>552</v>
      </c>
      <c r="E604" s="17"/>
      <c r="F604" s="13" t="n">
        <v>10</v>
      </c>
      <c r="G604" s="13" t="n">
        <v>4</v>
      </c>
      <c r="H604" s="18" t="n">
        <f aca="false">N(G604)-N(F604)</f>
        <v>-6</v>
      </c>
      <c r="I604" s="13"/>
    </row>
    <row r="605" customFormat="false" ht="15" hidden="false" customHeight="false" outlineLevel="0" collapsed="false">
      <c r="B605" s="12" t="s">
        <v>43</v>
      </c>
      <c r="C605" s="12" t="s">
        <v>553</v>
      </c>
      <c r="D605" s="17" t="s">
        <v>554</v>
      </c>
      <c r="E605" s="17"/>
      <c r="F605" s="13" t="n">
        <v>0</v>
      </c>
      <c r="G605" s="13" t="n">
        <v>4</v>
      </c>
      <c r="H605" s="18" t="n">
        <f aca="false">N(G605)-N(F605)</f>
        <v>4</v>
      </c>
      <c r="I605" s="13"/>
    </row>
    <row r="606" customFormat="false" ht="15" hidden="false" customHeight="false" outlineLevel="0" collapsed="false">
      <c r="B606" s="12" t="s">
        <v>43</v>
      </c>
      <c r="C606" s="12" t="s">
        <v>383</v>
      </c>
      <c r="D606" s="17" t="s">
        <v>384</v>
      </c>
      <c r="E606" s="17"/>
      <c r="F606" s="13" t="n">
        <v>0</v>
      </c>
      <c r="G606" s="13" t="n">
        <v>1</v>
      </c>
      <c r="H606" s="18" t="n">
        <f aca="false">N(G606)-N(F606)</f>
        <v>1</v>
      </c>
      <c r="I606" s="13"/>
    </row>
    <row r="607" customFormat="false" ht="15" hidden="false" customHeight="false" outlineLevel="0" collapsed="false">
      <c r="B607" s="12" t="s">
        <v>43</v>
      </c>
      <c r="C607" s="12" t="s">
        <v>410</v>
      </c>
      <c r="D607" s="17" t="s">
        <v>411</v>
      </c>
      <c r="E607" s="17"/>
      <c r="F607" s="13" t="n">
        <v>0</v>
      </c>
      <c r="G607" s="13" t="n">
        <v>1</v>
      </c>
      <c r="H607" s="18" t="n">
        <f aca="false">N(G607)-N(F607)</f>
        <v>1</v>
      </c>
      <c r="I607" s="13"/>
    </row>
    <row r="608" customFormat="false" ht="15" hidden="false" customHeight="false" outlineLevel="0" collapsed="false">
      <c r="B608" s="12" t="s">
        <v>43</v>
      </c>
      <c r="C608" s="12" t="s">
        <v>228</v>
      </c>
      <c r="D608" s="17" t="s">
        <v>229</v>
      </c>
      <c r="E608" s="17" t="s">
        <v>68</v>
      </c>
      <c r="F608" s="13" t="n">
        <v>150</v>
      </c>
      <c r="G608" s="13" t="n">
        <v>36</v>
      </c>
      <c r="H608" s="18" t="n">
        <f aca="false">N(G608)-N(F608)</f>
        <v>-114</v>
      </c>
      <c r="I608" s="13" t="n">
        <v>50</v>
      </c>
    </row>
    <row r="609" customFormat="false" ht="15" hidden="false" customHeight="false" outlineLevel="0" collapsed="false">
      <c r="B609" s="12" t="s">
        <v>43</v>
      </c>
      <c r="C609" s="12" t="s">
        <v>271</v>
      </c>
      <c r="D609" s="17" t="s">
        <v>272</v>
      </c>
      <c r="E609" s="17"/>
      <c r="F609" s="13" t="n">
        <v>0</v>
      </c>
      <c r="G609" s="13" t="n">
        <v>10</v>
      </c>
      <c r="H609" s="18" t="n">
        <f aca="false">N(G609)-N(F609)</f>
        <v>10</v>
      </c>
      <c r="I609" s="13"/>
    </row>
    <row r="610" customFormat="false" ht="15" hidden="false" customHeight="false" outlineLevel="0" collapsed="false">
      <c r="B610" s="12" t="s">
        <v>43</v>
      </c>
      <c r="C610" s="12" t="s">
        <v>282</v>
      </c>
      <c r="D610" s="17" t="s">
        <v>283</v>
      </c>
      <c r="E610" s="17"/>
      <c r="F610" s="13" t="n">
        <v>0</v>
      </c>
      <c r="G610" s="13" t="n">
        <v>3</v>
      </c>
      <c r="H610" s="18" t="n">
        <f aca="false">N(G610)-N(F610)</f>
        <v>3</v>
      </c>
      <c r="I610" s="13"/>
    </row>
    <row r="611" customFormat="false" ht="15" hidden="false" customHeight="false" outlineLevel="0" collapsed="false">
      <c r="B611" s="12" t="s">
        <v>43</v>
      </c>
      <c r="C611" s="12" t="s">
        <v>386</v>
      </c>
      <c r="D611" s="17" t="s">
        <v>387</v>
      </c>
      <c r="E611" s="17" t="s">
        <v>68</v>
      </c>
      <c r="F611" s="13" t="n">
        <v>0</v>
      </c>
      <c r="G611" s="13" t="n">
        <v>0</v>
      </c>
      <c r="H611" s="18" t="n">
        <f aca="false">N(G611)-N(F611)</f>
        <v>0</v>
      </c>
      <c r="I611" s="13" t="n">
        <v>1</v>
      </c>
    </row>
    <row r="612" customFormat="false" ht="15" hidden="false" customHeight="false" outlineLevel="0" collapsed="false">
      <c r="B612" s="12" t="s">
        <v>43</v>
      </c>
      <c r="C612" s="12" t="s">
        <v>129</v>
      </c>
      <c r="D612" s="17" t="s">
        <v>130</v>
      </c>
      <c r="E612" s="17"/>
      <c r="F612" s="13" t="n">
        <v>0</v>
      </c>
      <c r="G612" s="13" t="n">
        <v>4</v>
      </c>
      <c r="H612" s="18" t="n">
        <f aca="false">N(G612)-N(F612)</f>
        <v>4</v>
      </c>
      <c r="I612" s="13"/>
    </row>
    <row r="613" customFormat="false" ht="15" hidden="false" customHeight="false" outlineLevel="0" collapsed="false">
      <c r="B613" s="12" t="s">
        <v>43</v>
      </c>
      <c r="C613" s="12" t="s">
        <v>231</v>
      </c>
      <c r="D613" s="17" t="s">
        <v>232</v>
      </c>
      <c r="E613" s="17"/>
      <c r="F613" s="13" t="n">
        <v>0</v>
      </c>
      <c r="G613" s="13" t="n">
        <v>1</v>
      </c>
      <c r="H613" s="18" t="n">
        <f aca="false">N(G613)-N(F613)</f>
        <v>1</v>
      </c>
      <c r="I613" s="13"/>
    </row>
    <row r="614" customFormat="false" ht="15" hidden="false" customHeight="false" outlineLevel="0" collapsed="false">
      <c r="B614" s="12" t="s">
        <v>43</v>
      </c>
      <c r="C614" s="12" t="s">
        <v>234</v>
      </c>
      <c r="D614" s="17" t="s">
        <v>235</v>
      </c>
      <c r="E614" s="17" t="s">
        <v>68</v>
      </c>
      <c r="F614" s="13" t="n">
        <v>0</v>
      </c>
      <c r="G614" s="13" t="n">
        <v>18</v>
      </c>
      <c r="H614" s="18" t="n">
        <f aca="false">N(G614)-N(F614)</f>
        <v>18</v>
      </c>
      <c r="I614" s="13" t="n">
        <v>50</v>
      </c>
    </row>
    <row r="615" customFormat="false" ht="15" hidden="false" customHeight="false" outlineLevel="0" collapsed="false">
      <c r="B615" s="12" t="s">
        <v>43</v>
      </c>
      <c r="C615" s="12" t="s">
        <v>70</v>
      </c>
      <c r="D615" s="17" t="s">
        <v>71</v>
      </c>
      <c r="E615" s="17" t="s">
        <v>68</v>
      </c>
      <c r="F615" s="13" t="n">
        <v>400</v>
      </c>
      <c r="G615" s="13" t="n">
        <v>134</v>
      </c>
      <c r="H615" s="18" t="n">
        <f aca="false">N(G615)-N(F615)</f>
        <v>-266</v>
      </c>
      <c r="I615" s="13" t="n">
        <v>400</v>
      </c>
    </row>
    <row r="616" customFormat="false" ht="15" hidden="false" customHeight="false" outlineLevel="0" collapsed="false">
      <c r="B616" s="12" t="s">
        <v>43</v>
      </c>
      <c r="C616" s="12" t="s">
        <v>72</v>
      </c>
      <c r="D616" s="17" t="s">
        <v>73</v>
      </c>
      <c r="E616" s="17"/>
      <c r="F616" s="13" t="n">
        <v>60</v>
      </c>
      <c r="G616" s="13" t="n">
        <v>100</v>
      </c>
      <c r="H616" s="18" t="n">
        <f aca="false">N(G616)-N(F616)</f>
        <v>40</v>
      </c>
      <c r="I616" s="13"/>
    </row>
    <row r="617" customFormat="false" ht="15" hidden="false" customHeight="false" outlineLevel="0" collapsed="false">
      <c r="B617" s="12" t="s">
        <v>43</v>
      </c>
      <c r="C617" s="12" t="s">
        <v>413</v>
      </c>
      <c r="D617" s="17" t="s">
        <v>414</v>
      </c>
      <c r="E617" s="17"/>
      <c r="F617" s="13" t="n">
        <v>0</v>
      </c>
      <c r="G617" s="13" t="n">
        <v>33</v>
      </c>
      <c r="H617" s="18" t="n">
        <f aca="false">N(G617)-N(F617)</f>
        <v>33</v>
      </c>
      <c r="I617" s="13"/>
    </row>
    <row r="618" customFormat="false" ht="15" hidden="false" customHeight="false" outlineLevel="0" collapsed="false">
      <c r="B618" s="12" t="s">
        <v>43</v>
      </c>
      <c r="C618" s="12" t="s">
        <v>74</v>
      </c>
      <c r="D618" s="17" t="s">
        <v>75</v>
      </c>
      <c r="E618" s="17" t="s">
        <v>68</v>
      </c>
      <c r="F618" s="13" t="n">
        <v>80</v>
      </c>
      <c r="G618" s="13" t="n">
        <v>56</v>
      </c>
      <c r="H618" s="18" t="n">
        <f aca="false">N(G618)-N(F618)</f>
        <v>-24</v>
      </c>
      <c r="I618" s="13" t="n">
        <v>80</v>
      </c>
    </row>
    <row r="619" customFormat="false" ht="15" hidden="false" customHeight="false" outlineLevel="0" collapsed="false">
      <c r="B619" s="12" t="s">
        <v>43</v>
      </c>
      <c r="C619" s="12" t="s">
        <v>164</v>
      </c>
      <c r="D619" s="17" t="s">
        <v>165</v>
      </c>
      <c r="E619" s="17"/>
      <c r="F619" s="13" t="n">
        <v>40</v>
      </c>
      <c r="G619" s="13" t="n">
        <v>40</v>
      </c>
      <c r="H619" s="18" t="n">
        <f aca="false">N(G619)-N(F619)</f>
        <v>0</v>
      </c>
      <c r="I619" s="13"/>
    </row>
    <row r="620" customFormat="false" ht="15" hidden="false" customHeight="false" outlineLevel="0" collapsed="false">
      <c r="B620" s="12" t="s">
        <v>43</v>
      </c>
      <c r="C620" s="12" t="s">
        <v>167</v>
      </c>
      <c r="D620" s="17" t="s">
        <v>168</v>
      </c>
      <c r="E620" s="17" t="s">
        <v>68</v>
      </c>
      <c r="F620" s="13" t="n">
        <v>18</v>
      </c>
      <c r="G620" s="13" t="n">
        <v>0</v>
      </c>
      <c r="H620" s="18" t="n">
        <f aca="false">N(G620)-N(F620)</f>
        <v>-18</v>
      </c>
      <c r="I620" s="13" t="n">
        <v>18</v>
      </c>
    </row>
    <row r="621" customFormat="false" ht="15" hidden="false" customHeight="false" outlineLevel="0" collapsed="false">
      <c r="B621" s="12" t="s">
        <v>43</v>
      </c>
      <c r="C621" s="12" t="s">
        <v>76</v>
      </c>
      <c r="D621" s="17" t="s">
        <v>77</v>
      </c>
      <c r="E621" s="17" t="s">
        <v>68</v>
      </c>
      <c r="F621" s="13" t="n">
        <v>230</v>
      </c>
      <c r="G621" s="13" t="n">
        <v>278</v>
      </c>
      <c r="H621" s="18" t="n">
        <f aca="false">N(G621)-N(F621)</f>
        <v>48</v>
      </c>
      <c r="I621" s="13" t="n">
        <v>230</v>
      </c>
    </row>
    <row r="622" customFormat="false" ht="15" hidden="false" customHeight="false" outlineLevel="0" collapsed="false">
      <c r="B622" s="12" t="s">
        <v>43</v>
      </c>
      <c r="C622" s="12" t="s">
        <v>78</v>
      </c>
      <c r="D622" s="17" t="s">
        <v>79</v>
      </c>
      <c r="E622" s="17" t="s">
        <v>68</v>
      </c>
      <c r="F622" s="13" t="n">
        <v>270</v>
      </c>
      <c r="G622" s="13" t="n">
        <v>162</v>
      </c>
      <c r="H622" s="18" t="n">
        <f aca="false">N(G622)-N(F622)</f>
        <v>-108</v>
      </c>
      <c r="I622" s="13" t="n">
        <v>270</v>
      </c>
    </row>
    <row r="623" customFormat="false" ht="15" hidden="false" customHeight="false" outlineLevel="0" collapsed="false">
      <c r="B623" s="12" t="s">
        <v>43</v>
      </c>
      <c r="C623" s="12" t="s">
        <v>496</v>
      </c>
      <c r="D623" s="17" t="s">
        <v>497</v>
      </c>
      <c r="E623" s="17" t="s">
        <v>68</v>
      </c>
      <c r="F623" s="13" t="n">
        <v>0</v>
      </c>
      <c r="G623" s="13" t="n">
        <v>1</v>
      </c>
      <c r="H623" s="18" t="n">
        <f aca="false">N(G623)-N(F623)</f>
        <v>1</v>
      </c>
      <c r="I623" s="13" t="n">
        <v>1</v>
      </c>
    </row>
    <row r="624" customFormat="false" ht="15" hidden="false" customHeight="false" outlineLevel="0" collapsed="false">
      <c r="B624" s="12" t="s">
        <v>43</v>
      </c>
      <c r="C624" s="12" t="s">
        <v>499</v>
      </c>
      <c r="D624" s="17" t="s">
        <v>500</v>
      </c>
      <c r="E624" s="17" t="s">
        <v>68</v>
      </c>
      <c r="F624" s="13" t="n">
        <v>20</v>
      </c>
      <c r="G624" s="13" t="n">
        <v>25</v>
      </c>
      <c r="H624" s="18" t="n">
        <f aca="false">N(G624)-N(F624)</f>
        <v>5</v>
      </c>
      <c r="I624" s="13" t="n">
        <v>25</v>
      </c>
    </row>
    <row r="625" customFormat="false" ht="15" hidden="false" customHeight="false" outlineLevel="0" collapsed="false">
      <c r="B625" s="12" t="s">
        <v>43</v>
      </c>
      <c r="C625" s="12" t="s">
        <v>288</v>
      </c>
      <c r="D625" s="17" t="s">
        <v>289</v>
      </c>
      <c r="E625" s="17" t="s">
        <v>68</v>
      </c>
      <c r="F625" s="13" t="n">
        <v>18</v>
      </c>
      <c r="G625" s="13" t="n">
        <v>24</v>
      </c>
      <c r="H625" s="18" t="n">
        <f aca="false">N(G625)-N(F625)</f>
        <v>6</v>
      </c>
      <c r="I625" s="13" t="n">
        <v>50</v>
      </c>
    </row>
    <row r="626" customFormat="false" ht="15" hidden="false" customHeight="false" outlineLevel="0" collapsed="false">
      <c r="B626" s="12" t="s">
        <v>43</v>
      </c>
      <c r="C626" s="12" t="s">
        <v>389</v>
      </c>
      <c r="D626" s="17" t="s">
        <v>390</v>
      </c>
      <c r="E626" s="17" t="s">
        <v>68</v>
      </c>
      <c r="F626" s="13" t="n">
        <v>0</v>
      </c>
      <c r="G626" s="13" t="n">
        <v>3</v>
      </c>
      <c r="H626" s="18" t="n">
        <f aca="false">N(G626)-N(F626)</f>
        <v>3</v>
      </c>
      <c r="I626" s="13" t="n">
        <v>10</v>
      </c>
    </row>
    <row r="627" customFormat="false" ht="15" hidden="false" customHeight="false" outlineLevel="0" collapsed="false">
      <c r="B627" s="12" t="s">
        <v>43</v>
      </c>
      <c r="C627" s="12" t="s">
        <v>80</v>
      </c>
      <c r="D627" s="17" t="s">
        <v>81</v>
      </c>
      <c r="E627" s="17" t="s">
        <v>68</v>
      </c>
      <c r="F627" s="13" t="n">
        <v>350</v>
      </c>
      <c r="G627" s="13" t="n">
        <v>445</v>
      </c>
      <c r="H627" s="18" t="n">
        <f aca="false">N(G627)-N(F627)</f>
        <v>95</v>
      </c>
      <c r="I627" s="13" t="n">
        <v>350</v>
      </c>
    </row>
    <row r="628" customFormat="false" ht="15" hidden="false" customHeight="false" outlineLevel="0" collapsed="false">
      <c r="B628" s="12" t="s">
        <v>43</v>
      </c>
      <c r="C628" s="12" t="s">
        <v>82</v>
      </c>
      <c r="D628" s="17" t="s">
        <v>83</v>
      </c>
      <c r="E628" s="17" t="s">
        <v>68</v>
      </c>
      <c r="F628" s="13" t="n">
        <v>160</v>
      </c>
      <c r="G628" s="13" t="n">
        <v>161</v>
      </c>
      <c r="H628" s="18" t="n">
        <f aca="false">N(G628)-N(F628)</f>
        <v>1</v>
      </c>
      <c r="I628" s="13" t="n">
        <v>160</v>
      </c>
    </row>
    <row r="629" customFormat="false" ht="15" hidden="false" customHeight="false" outlineLevel="0" collapsed="false">
      <c r="B629" s="12" t="s">
        <v>43</v>
      </c>
      <c r="C629" s="12" t="s">
        <v>316</v>
      </c>
      <c r="D629" s="17" t="s">
        <v>317</v>
      </c>
      <c r="E629" s="17"/>
      <c r="F629" s="13" t="n">
        <v>200</v>
      </c>
      <c r="G629" s="13" t="n">
        <v>176</v>
      </c>
      <c r="H629" s="18" t="n">
        <f aca="false">N(G629)-N(F629)</f>
        <v>-24</v>
      </c>
      <c r="I629" s="13"/>
    </row>
    <row r="630" customFormat="false" ht="15" hidden="false" customHeight="false" outlineLevel="0" collapsed="false">
      <c r="B630" s="12" t="s">
        <v>43</v>
      </c>
      <c r="C630" s="12" t="s">
        <v>446</v>
      </c>
      <c r="D630" s="17" t="s">
        <v>447</v>
      </c>
      <c r="E630" s="17"/>
      <c r="F630" s="13" t="n">
        <v>0</v>
      </c>
      <c r="G630" s="13" t="n">
        <v>1685</v>
      </c>
      <c r="H630" s="18" t="n">
        <f aca="false">N(G630)-N(F630)</f>
        <v>1685</v>
      </c>
      <c r="I630" s="13"/>
    </row>
    <row r="631" customFormat="false" ht="15" hidden="false" customHeight="false" outlineLevel="0" collapsed="false">
      <c r="B631" s="12" t="s">
        <v>43</v>
      </c>
      <c r="C631" s="12" t="s">
        <v>449</v>
      </c>
      <c r="D631" s="17" t="s">
        <v>450</v>
      </c>
      <c r="E631" s="17"/>
      <c r="F631" s="13" t="n">
        <v>0</v>
      </c>
      <c r="G631" s="13" t="n">
        <v>2</v>
      </c>
      <c r="H631" s="18" t="n">
        <f aca="false">N(G631)-N(F631)</f>
        <v>2</v>
      </c>
      <c r="I631" s="13"/>
    </row>
    <row r="632" customFormat="false" ht="15" hidden="false" customHeight="false" outlineLevel="0" collapsed="false">
      <c r="B632" s="12" t="s">
        <v>43</v>
      </c>
      <c r="C632" s="12" t="s">
        <v>190</v>
      </c>
      <c r="D632" s="17" t="s">
        <v>191</v>
      </c>
      <c r="E632" s="17"/>
      <c r="F632" s="13" t="n">
        <v>0</v>
      </c>
      <c r="G632" s="13" t="n">
        <v>14</v>
      </c>
      <c r="H632" s="18" t="n">
        <f aca="false">N(G632)-N(F632)</f>
        <v>14</v>
      </c>
      <c r="I632" s="13"/>
    </row>
    <row r="633" customFormat="false" ht="15" hidden="false" customHeight="false" outlineLevel="0" collapsed="false">
      <c r="B633" s="12" t="s">
        <v>43</v>
      </c>
      <c r="C633" s="12" t="s">
        <v>291</v>
      </c>
      <c r="D633" s="17" t="s">
        <v>292</v>
      </c>
      <c r="E633" s="17"/>
      <c r="F633" s="13" t="n">
        <v>0</v>
      </c>
      <c r="G633" s="13" t="n">
        <v>2622</v>
      </c>
      <c r="H633" s="18" t="n">
        <f aca="false">N(G633)-N(F633)</f>
        <v>2622</v>
      </c>
      <c r="I633" s="13"/>
    </row>
    <row r="634" customFormat="false" ht="15" hidden="false" customHeight="false" outlineLevel="0" collapsed="false">
      <c r="B634" s="12" t="s">
        <v>43</v>
      </c>
      <c r="C634" s="12" t="s">
        <v>237</v>
      </c>
      <c r="D634" s="17" t="s">
        <v>238</v>
      </c>
      <c r="E634" s="17" t="s">
        <v>68</v>
      </c>
      <c r="F634" s="13" t="n">
        <v>40</v>
      </c>
      <c r="G634" s="13" t="n">
        <v>40</v>
      </c>
      <c r="H634" s="18" t="n">
        <f aca="false">N(G634)-N(F634)</f>
        <v>0</v>
      </c>
      <c r="I634" s="13" t="n">
        <v>40</v>
      </c>
    </row>
    <row r="635" customFormat="false" ht="15" hidden="false" customHeight="false" outlineLevel="0" collapsed="false">
      <c r="B635" s="12" t="s">
        <v>43</v>
      </c>
      <c r="C635" s="12" t="s">
        <v>84</v>
      </c>
      <c r="D635" s="17" t="s">
        <v>85</v>
      </c>
      <c r="E635" s="17"/>
      <c r="F635" s="13" t="n">
        <v>0</v>
      </c>
      <c r="G635" s="13" t="n">
        <v>16</v>
      </c>
      <c r="H635" s="18" t="n">
        <f aca="false">N(G635)-N(F635)</f>
        <v>16</v>
      </c>
      <c r="I635" s="13"/>
    </row>
    <row r="636" customFormat="false" ht="15" hidden="false" customHeight="false" outlineLevel="0" collapsed="false">
      <c r="B636" s="12" t="s">
        <v>43</v>
      </c>
      <c r="C636" s="12" t="s">
        <v>416</v>
      </c>
      <c r="D636" s="17" t="s">
        <v>417</v>
      </c>
      <c r="E636" s="17"/>
      <c r="F636" s="13" t="n">
        <v>0</v>
      </c>
      <c r="G636" s="13" t="n">
        <v>2</v>
      </c>
      <c r="H636" s="18" t="n">
        <f aca="false">N(G636)-N(F636)</f>
        <v>2</v>
      </c>
      <c r="I636" s="13"/>
    </row>
    <row r="637" customFormat="false" ht="15" hidden="false" customHeight="false" outlineLevel="0" collapsed="false">
      <c r="B637" s="12" t="s">
        <v>43</v>
      </c>
      <c r="C637" s="12" t="s">
        <v>193</v>
      </c>
      <c r="D637" s="17" t="s">
        <v>194</v>
      </c>
      <c r="E637" s="17" t="s">
        <v>68</v>
      </c>
      <c r="F637" s="13" t="n">
        <v>4</v>
      </c>
      <c r="G637" s="13" t="n">
        <v>5</v>
      </c>
      <c r="H637" s="18" t="n">
        <f aca="false">N(G637)-N(F637)</f>
        <v>1</v>
      </c>
      <c r="I637" s="13" t="n">
        <v>4</v>
      </c>
    </row>
    <row r="638" customFormat="false" ht="15" hidden="false" customHeight="false" outlineLevel="0" collapsed="false">
      <c r="B638" s="12" t="s">
        <v>43</v>
      </c>
      <c r="C638" s="12" t="s">
        <v>86</v>
      </c>
      <c r="D638" s="17" t="s">
        <v>87</v>
      </c>
      <c r="E638" s="17" t="s">
        <v>68</v>
      </c>
      <c r="F638" s="13" t="n">
        <v>100</v>
      </c>
      <c r="G638" s="13" t="n">
        <v>118</v>
      </c>
      <c r="H638" s="18" t="n">
        <f aca="false">N(G638)-N(F638)</f>
        <v>18</v>
      </c>
      <c r="I638" s="13" t="n">
        <v>100</v>
      </c>
    </row>
    <row r="639" customFormat="false" ht="15" hidden="false" customHeight="false" outlineLevel="0" collapsed="false">
      <c r="B639" s="12" t="s">
        <v>43</v>
      </c>
      <c r="C639" s="12" t="s">
        <v>573</v>
      </c>
      <c r="D639" s="17" t="s">
        <v>574</v>
      </c>
      <c r="E639" s="17"/>
      <c r="F639" s="13" t="n">
        <v>0</v>
      </c>
      <c r="G639" s="13" t="n">
        <v>8</v>
      </c>
      <c r="H639" s="18" t="n">
        <f aca="false">N(G639)-N(F639)</f>
        <v>8</v>
      </c>
      <c r="I639" s="13"/>
    </row>
    <row r="640" customFormat="false" ht="15" hidden="false" customHeight="false" outlineLevel="0" collapsed="false">
      <c r="B640" s="12" t="s">
        <v>43</v>
      </c>
      <c r="C640" s="12" t="s">
        <v>505</v>
      </c>
      <c r="D640" s="17" t="s">
        <v>506</v>
      </c>
      <c r="E640" s="17"/>
      <c r="F640" s="13" t="n">
        <v>0</v>
      </c>
      <c r="G640" s="13" t="n">
        <v>1</v>
      </c>
      <c r="H640" s="18" t="n">
        <f aca="false">N(G640)-N(F640)</f>
        <v>1</v>
      </c>
      <c r="I640" s="13"/>
    </row>
    <row r="641" customFormat="false" ht="15" hidden="false" customHeight="false" outlineLevel="0" collapsed="false">
      <c r="B641" s="12" t="s">
        <v>43</v>
      </c>
      <c r="C641" s="12" t="s">
        <v>132</v>
      </c>
      <c r="D641" s="17" t="s">
        <v>133</v>
      </c>
      <c r="E641" s="17" t="s">
        <v>68</v>
      </c>
      <c r="F641" s="13" t="n">
        <v>140</v>
      </c>
      <c r="G641" s="13" t="n">
        <v>96</v>
      </c>
      <c r="H641" s="18" t="n">
        <f aca="false">N(G641)-N(F641)</f>
        <v>-44</v>
      </c>
      <c r="I641" s="13" t="n">
        <v>140</v>
      </c>
    </row>
    <row r="642" customFormat="false" ht="15" hidden="false" customHeight="false" outlineLevel="0" collapsed="false">
      <c r="B642" s="12" t="s">
        <v>43</v>
      </c>
      <c r="C642" s="12" t="s">
        <v>294</v>
      </c>
      <c r="D642" s="17" t="s">
        <v>295</v>
      </c>
      <c r="E642" s="17" t="s">
        <v>68</v>
      </c>
      <c r="F642" s="13" t="n">
        <v>10</v>
      </c>
      <c r="G642" s="13" t="n">
        <v>2</v>
      </c>
      <c r="H642" s="18" t="n">
        <f aca="false">N(G642)-N(F642)</f>
        <v>-8</v>
      </c>
      <c r="I642" s="13" t="n">
        <v>20</v>
      </c>
    </row>
    <row r="643" customFormat="false" ht="15" hidden="false" customHeight="false" outlineLevel="0" collapsed="false">
      <c r="B643" s="12" t="s">
        <v>43</v>
      </c>
      <c r="C643" s="12" t="s">
        <v>196</v>
      </c>
      <c r="D643" s="17" t="s">
        <v>197</v>
      </c>
      <c r="E643" s="17"/>
      <c r="F643" s="13" t="n">
        <v>0</v>
      </c>
      <c r="G643" s="13" t="n">
        <v>5</v>
      </c>
      <c r="H643" s="18" t="n">
        <f aca="false">N(G643)-N(F643)</f>
        <v>5</v>
      </c>
      <c r="I643" s="13"/>
    </row>
    <row r="644" customFormat="false" ht="15" hidden="false" customHeight="false" outlineLevel="0" collapsed="false">
      <c r="B644" s="12" t="s">
        <v>43</v>
      </c>
      <c r="C644" s="12" t="s">
        <v>419</v>
      </c>
      <c r="D644" s="17" t="s">
        <v>420</v>
      </c>
      <c r="E644" s="17"/>
      <c r="F644" s="13" t="n">
        <v>0</v>
      </c>
      <c r="G644" s="13" t="n">
        <v>8</v>
      </c>
      <c r="H644" s="18" t="n">
        <f aca="false">N(G644)-N(F644)</f>
        <v>8</v>
      </c>
      <c r="I644" s="13"/>
    </row>
    <row r="645" customFormat="false" ht="15" hidden="false" customHeight="false" outlineLevel="0" collapsed="false">
      <c r="B645" s="12" t="s">
        <v>43</v>
      </c>
      <c r="C645" s="12" t="s">
        <v>110</v>
      </c>
      <c r="D645" s="17" t="s">
        <v>111</v>
      </c>
      <c r="E645" s="17" t="s">
        <v>68</v>
      </c>
      <c r="F645" s="13" t="n">
        <v>259</v>
      </c>
      <c r="G645" s="13" t="n">
        <v>135</v>
      </c>
      <c r="H645" s="18" t="n">
        <f aca="false">N(G645)-N(F645)</f>
        <v>-124</v>
      </c>
      <c r="I645" s="13" t="n">
        <v>260</v>
      </c>
    </row>
    <row r="646" customFormat="false" ht="15" hidden="false" customHeight="false" outlineLevel="0" collapsed="false">
      <c r="B646" s="12" t="s">
        <v>43</v>
      </c>
      <c r="C646" s="12" t="s">
        <v>422</v>
      </c>
      <c r="D646" s="17" t="s">
        <v>423</v>
      </c>
      <c r="E646" s="17"/>
      <c r="F646" s="13" t="n">
        <v>0</v>
      </c>
      <c r="G646" s="13" t="n">
        <v>12</v>
      </c>
      <c r="H646" s="18" t="n">
        <f aca="false">N(G646)-N(F646)</f>
        <v>12</v>
      </c>
      <c r="I646" s="13"/>
    </row>
    <row r="647" customFormat="false" ht="15" hidden="false" customHeight="false" outlineLevel="0" collapsed="false">
      <c r="B647" s="12" t="s">
        <v>43</v>
      </c>
      <c r="C647" s="12" t="s">
        <v>135</v>
      </c>
      <c r="D647" s="17" t="s">
        <v>136</v>
      </c>
      <c r="E647" s="17" t="s">
        <v>94</v>
      </c>
      <c r="F647" s="13" t="n">
        <v>11000</v>
      </c>
      <c r="G647" s="13" t="n">
        <v>10245</v>
      </c>
      <c r="H647" s="18" t="n">
        <f aca="false">N(G647)-N(F647)</f>
        <v>-755</v>
      </c>
      <c r="I647" s="13" t="n">
        <v>11486.9959</v>
      </c>
    </row>
    <row r="648" customFormat="false" ht="15" hidden="false" customHeight="false" outlineLevel="0" collapsed="false">
      <c r="B648" s="12" t="s">
        <v>43</v>
      </c>
      <c r="C648" s="12" t="s">
        <v>319</v>
      </c>
      <c r="D648" s="17" t="s">
        <v>320</v>
      </c>
      <c r="E648" s="17" t="s">
        <v>68</v>
      </c>
      <c r="F648" s="13" t="n">
        <v>0</v>
      </c>
      <c r="G648" s="13" t="n">
        <v>6</v>
      </c>
      <c r="H648" s="18" t="n">
        <f aca="false">N(G648)-N(F648)</f>
        <v>6</v>
      </c>
      <c r="I648" s="13" t="n">
        <v>8</v>
      </c>
    </row>
    <row r="649" customFormat="false" ht="15" hidden="false" customHeight="false" outlineLevel="0" collapsed="false">
      <c r="B649" s="12" t="s">
        <v>43</v>
      </c>
      <c r="C649" s="12" t="s">
        <v>395</v>
      </c>
      <c r="D649" s="17" t="s">
        <v>396</v>
      </c>
      <c r="E649" s="17" t="s">
        <v>68</v>
      </c>
      <c r="F649" s="13" t="n">
        <v>0</v>
      </c>
      <c r="G649" s="13" t="n">
        <v>2</v>
      </c>
      <c r="H649" s="18" t="n">
        <f aca="false">N(G649)-N(F649)</f>
        <v>2</v>
      </c>
      <c r="I649" s="13" t="n">
        <v>1</v>
      </c>
    </row>
    <row r="650" customFormat="false" ht="15" hidden="false" customHeight="false" outlineLevel="0" collapsed="false">
      <c r="B650" s="12" t="s">
        <v>43</v>
      </c>
      <c r="C650" s="12" t="s">
        <v>297</v>
      </c>
      <c r="D650" s="17" t="s">
        <v>298</v>
      </c>
      <c r="E650" s="17"/>
      <c r="F650" s="13" t="n">
        <v>0</v>
      </c>
      <c r="G650" s="13" t="n">
        <v>2</v>
      </c>
      <c r="H650" s="18" t="n">
        <f aca="false">N(G650)-N(F650)</f>
        <v>2</v>
      </c>
      <c r="I650" s="13"/>
    </row>
    <row r="651" customFormat="false" ht="15" hidden="false" customHeight="false" outlineLevel="0" collapsed="false">
      <c r="B651" s="12" t="s">
        <v>43</v>
      </c>
      <c r="C651" s="12" t="s">
        <v>170</v>
      </c>
      <c r="D651" s="17" t="s">
        <v>171</v>
      </c>
      <c r="E651" s="17"/>
      <c r="F651" s="13" t="n">
        <v>20</v>
      </c>
      <c r="G651" s="13" t="n">
        <v>12</v>
      </c>
      <c r="H651" s="18" t="n">
        <f aca="false">N(G651)-N(F651)</f>
        <v>-8</v>
      </c>
      <c r="I651" s="13"/>
    </row>
    <row r="652" customFormat="false" ht="15" hidden="false" customHeight="false" outlineLevel="0" collapsed="false">
      <c r="B652" s="12" t="s">
        <v>43</v>
      </c>
      <c r="C652" s="12" t="s">
        <v>198</v>
      </c>
      <c r="D652" s="17" t="s">
        <v>199</v>
      </c>
      <c r="E652" s="17"/>
      <c r="F652" s="13" t="n">
        <v>0</v>
      </c>
      <c r="G652" s="13" t="n">
        <v>12</v>
      </c>
      <c r="H652" s="18" t="n">
        <f aca="false">N(G652)-N(F652)</f>
        <v>12</v>
      </c>
      <c r="I652" s="13"/>
    </row>
    <row r="653" customFormat="false" ht="15" hidden="false" customHeight="false" outlineLevel="0" collapsed="false">
      <c r="B653" s="12" t="s">
        <v>43</v>
      </c>
      <c r="C653" s="12" t="s">
        <v>88</v>
      </c>
      <c r="D653" s="17" t="s">
        <v>89</v>
      </c>
      <c r="E653" s="17" t="s">
        <v>68</v>
      </c>
      <c r="F653" s="13" t="n">
        <v>330</v>
      </c>
      <c r="G653" s="13" t="n">
        <v>182</v>
      </c>
      <c r="H653" s="18" t="n">
        <f aca="false">N(G653)-N(F653)</f>
        <v>-148</v>
      </c>
      <c r="I653" s="13" t="n">
        <v>330</v>
      </c>
    </row>
    <row r="654" customFormat="false" ht="15" hidden="false" customHeight="false" outlineLevel="0" collapsed="false">
      <c r="B654" s="12" t="s">
        <v>43</v>
      </c>
      <c r="C654" s="12" t="s">
        <v>90</v>
      </c>
      <c r="D654" s="17" t="s">
        <v>91</v>
      </c>
      <c r="E654" s="17" t="s">
        <v>68</v>
      </c>
      <c r="F654" s="13" t="n">
        <v>28</v>
      </c>
      <c r="G654" s="13" t="n">
        <v>31</v>
      </c>
      <c r="H654" s="18" t="n">
        <f aca="false">N(G654)-N(F654)</f>
        <v>3</v>
      </c>
      <c r="I654" s="13" t="n">
        <v>28</v>
      </c>
    </row>
    <row r="655" customFormat="false" ht="15" hidden="false" customHeight="false" outlineLevel="0" collapsed="false">
      <c r="B655" s="12" t="s">
        <v>43</v>
      </c>
      <c r="C655" s="12" t="s">
        <v>425</v>
      </c>
      <c r="D655" s="17" t="s">
        <v>426</v>
      </c>
      <c r="E655" s="17"/>
      <c r="F655" s="13" t="n">
        <v>0</v>
      </c>
      <c r="G655" s="13" t="n">
        <v>12</v>
      </c>
      <c r="H655" s="18" t="n">
        <f aca="false">N(G655)-N(F655)</f>
        <v>12</v>
      </c>
      <c r="I655" s="13"/>
    </row>
    <row r="656" customFormat="false" ht="15" hidden="false" customHeight="false" outlineLevel="0" collapsed="false">
      <c r="B656" s="12" t="s">
        <v>43</v>
      </c>
      <c r="C656" s="12" t="s">
        <v>452</v>
      </c>
      <c r="D656" s="17" t="s">
        <v>453</v>
      </c>
      <c r="E656" s="17" t="s">
        <v>68</v>
      </c>
      <c r="F656" s="13" t="n">
        <v>40</v>
      </c>
      <c r="G656" s="13" t="n">
        <v>33</v>
      </c>
      <c r="H656" s="18" t="n">
        <f aca="false">N(G656)-N(F656)</f>
        <v>-7</v>
      </c>
      <c r="I656" s="13" t="n">
        <v>40</v>
      </c>
    </row>
    <row r="657" customFormat="false" ht="15" hidden="false" customHeight="false" outlineLevel="0" collapsed="false">
      <c r="B657" s="12" t="s">
        <v>43</v>
      </c>
      <c r="C657" s="12" t="s">
        <v>322</v>
      </c>
      <c r="D657" s="17" t="s">
        <v>323</v>
      </c>
      <c r="E657" s="17"/>
      <c r="F657" s="13" t="n">
        <v>0</v>
      </c>
      <c r="G657" s="13" t="n">
        <v>6</v>
      </c>
      <c r="H657" s="18" t="n">
        <f aca="false">N(G657)-N(F657)</f>
        <v>6</v>
      </c>
      <c r="I657" s="13"/>
    </row>
    <row r="658" customFormat="false" ht="15" hidden="false" customHeight="false" outlineLevel="0" collapsed="false">
      <c r="B658" s="12" t="s">
        <v>43</v>
      </c>
      <c r="C658" s="12" t="s">
        <v>92</v>
      </c>
      <c r="D658" s="17" t="s">
        <v>93</v>
      </c>
      <c r="E658" s="17"/>
      <c r="F658" s="13" t="n">
        <v>0</v>
      </c>
      <c r="G658" s="13" t="n">
        <v>1525</v>
      </c>
      <c r="H658" s="18" t="n">
        <f aca="false">N(G658)-N(F658)</f>
        <v>1525</v>
      </c>
      <c r="I658" s="13"/>
    </row>
    <row r="659" customFormat="false" ht="15" hidden="false" customHeight="false" outlineLevel="0" collapsed="false">
      <c r="B659" s="12" t="s">
        <v>43</v>
      </c>
      <c r="C659" s="12" t="s">
        <v>300</v>
      </c>
      <c r="D659" s="17" t="s">
        <v>301</v>
      </c>
      <c r="E659" s="17"/>
      <c r="F659" s="13" t="n">
        <v>0</v>
      </c>
      <c r="G659" s="13" t="n">
        <v>6</v>
      </c>
      <c r="H659" s="18" t="n">
        <f aca="false">N(G659)-N(F659)</f>
        <v>6</v>
      </c>
      <c r="I659" s="13"/>
    </row>
    <row r="660" customFormat="false" ht="15" hidden="false" customHeight="false" outlineLevel="0" collapsed="false">
      <c r="B660" s="12" t="s">
        <v>43</v>
      </c>
      <c r="C660" s="12" t="s">
        <v>240</v>
      </c>
      <c r="D660" s="17" t="s">
        <v>241</v>
      </c>
      <c r="E660" s="17" t="s">
        <v>94</v>
      </c>
      <c r="F660" s="13" t="n">
        <v>3533</v>
      </c>
      <c r="G660" s="13" t="n">
        <v>2350</v>
      </c>
      <c r="H660" s="18" t="n">
        <f aca="false">N(G660)-N(F660)</f>
        <v>-1183</v>
      </c>
      <c r="I660" s="13" t="n">
        <v>4963.6528</v>
      </c>
    </row>
    <row r="661" customFormat="false" ht="15" hidden="false" customHeight="false" outlineLevel="0" collapsed="false">
      <c r="B661" s="12" t="s">
        <v>43</v>
      </c>
      <c r="C661" s="12" t="s">
        <v>325</v>
      </c>
      <c r="D661" s="17" t="s">
        <v>326</v>
      </c>
      <c r="E661" s="17" t="s">
        <v>68</v>
      </c>
      <c r="F661" s="13" t="n">
        <v>30</v>
      </c>
      <c r="G661" s="13" t="n">
        <v>24</v>
      </c>
      <c r="H661" s="18" t="n">
        <f aca="false">N(G661)-N(F661)</f>
        <v>-6</v>
      </c>
      <c r="I661" s="13" t="n">
        <v>30</v>
      </c>
    </row>
    <row r="662" customFormat="false" ht="15" hidden="false" customHeight="false" outlineLevel="0" collapsed="false">
      <c r="B662" s="12" t="s">
        <v>43</v>
      </c>
      <c r="C662" s="12" t="s">
        <v>95</v>
      </c>
      <c r="D662" s="17" t="s">
        <v>96</v>
      </c>
      <c r="E662" s="17"/>
      <c r="F662" s="13" t="n">
        <v>42</v>
      </c>
      <c r="G662" s="13" t="n">
        <v>37</v>
      </c>
      <c r="H662" s="18" t="n">
        <f aca="false">N(G662)-N(F662)</f>
        <v>-5</v>
      </c>
      <c r="I662" s="13"/>
    </row>
    <row r="663" customFormat="false" ht="15" hidden="false" customHeight="false" outlineLevel="0" collapsed="false">
      <c r="B663" s="12" t="s">
        <v>43</v>
      </c>
      <c r="C663" s="12" t="s">
        <v>97</v>
      </c>
      <c r="D663" s="17" t="s">
        <v>98</v>
      </c>
      <c r="E663" s="17" t="s">
        <v>68</v>
      </c>
      <c r="F663" s="13" t="n">
        <v>275</v>
      </c>
      <c r="G663" s="13" t="n">
        <v>283</v>
      </c>
      <c r="H663" s="18" t="n">
        <f aca="false">N(G663)-N(F663)</f>
        <v>8</v>
      </c>
      <c r="I663" s="13" t="n">
        <v>275</v>
      </c>
    </row>
    <row r="664" customFormat="false" ht="15" hidden="false" customHeight="false" outlineLevel="0" collapsed="false">
      <c r="B664" s="12" t="s">
        <v>43</v>
      </c>
      <c r="C664" s="12" t="s">
        <v>327</v>
      </c>
      <c r="D664" s="17" t="s">
        <v>328</v>
      </c>
      <c r="E664" s="17" t="s">
        <v>68</v>
      </c>
      <c r="F664" s="13" t="n">
        <v>6</v>
      </c>
      <c r="G664" s="13" t="n">
        <v>6</v>
      </c>
      <c r="H664" s="18" t="n">
        <f aca="false">N(G664)-N(F664)</f>
        <v>0</v>
      </c>
      <c r="I664" s="13" t="n">
        <v>6</v>
      </c>
    </row>
    <row r="665" customFormat="false" ht="15" hidden="false" customHeight="false" outlineLevel="0" collapsed="false">
      <c r="B665" s="12" t="s">
        <v>43</v>
      </c>
      <c r="C665" s="12" t="s">
        <v>201</v>
      </c>
      <c r="D665" s="17" t="s">
        <v>202</v>
      </c>
      <c r="E665" s="17"/>
      <c r="F665" s="13" t="n">
        <v>0</v>
      </c>
      <c r="G665" s="13" t="n">
        <v>6</v>
      </c>
      <c r="H665" s="18" t="n">
        <f aca="false">N(G665)-N(F665)</f>
        <v>6</v>
      </c>
      <c r="I665" s="13"/>
    </row>
    <row r="666" customFormat="false" ht="15" hidden="false" customHeight="false" outlineLevel="0" collapsed="false">
      <c r="B666" s="12" t="s">
        <v>43</v>
      </c>
      <c r="C666" s="12" t="s">
        <v>138</v>
      </c>
      <c r="D666" s="17" t="s">
        <v>139</v>
      </c>
      <c r="E666" s="17" t="s">
        <v>68</v>
      </c>
      <c r="F666" s="13" t="n">
        <v>25</v>
      </c>
      <c r="G666" s="13" t="n">
        <v>5</v>
      </c>
      <c r="H666" s="18" t="n">
        <f aca="false">N(G666)-N(F666)</f>
        <v>-20</v>
      </c>
      <c r="I666" s="13" t="n">
        <v>50</v>
      </c>
    </row>
    <row r="667" customFormat="false" ht="15" hidden="false" customHeight="false" outlineLevel="0" collapsed="false">
      <c r="B667" s="12" t="s">
        <v>43</v>
      </c>
      <c r="C667" s="12" t="s">
        <v>366</v>
      </c>
      <c r="D667" s="17" t="s">
        <v>367</v>
      </c>
      <c r="E667" s="17"/>
      <c r="F667" s="13" t="n">
        <v>0</v>
      </c>
      <c r="G667" s="13" t="n">
        <v>1</v>
      </c>
      <c r="H667" s="18" t="n">
        <f aca="false">N(G667)-N(F667)</f>
        <v>1</v>
      </c>
      <c r="I667" s="13"/>
    </row>
    <row r="668" customFormat="false" ht="15" hidden="false" customHeight="false" outlineLevel="0" collapsed="false">
      <c r="B668" s="12" t="s">
        <v>43</v>
      </c>
      <c r="C668" s="12" t="s">
        <v>427</v>
      </c>
      <c r="D668" s="17" t="s">
        <v>428</v>
      </c>
      <c r="E668" s="17"/>
      <c r="F668" s="13" t="n">
        <v>0</v>
      </c>
      <c r="G668" s="13" t="n">
        <v>6</v>
      </c>
      <c r="H668" s="18" t="n">
        <f aca="false">N(G668)-N(F668)</f>
        <v>6</v>
      </c>
      <c r="I668" s="13"/>
    </row>
    <row r="669" customFormat="false" ht="15" hidden="false" customHeight="false" outlineLevel="0" collapsed="false">
      <c r="B669" s="12" t="s">
        <v>43</v>
      </c>
      <c r="C669" s="12" t="s">
        <v>302</v>
      </c>
      <c r="D669" s="17" t="s">
        <v>133</v>
      </c>
      <c r="E669" s="17"/>
      <c r="F669" s="13" t="n">
        <v>25</v>
      </c>
      <c r="G669" s="13" t="n">
        <v>24</v>
      </c>
      <c r="H669" s="18" t="n">
        <f aca="false">N(G669)-N(F669)</f>
        <v>-1</v>
      </c>
      <c r="I669" s="13"/>
    </row>
    <row r="670" customFormat="false" ht="15" hidden="false" customHeight="false" outlineLevel="0" collapsed="false">
      <c r="B670" s="12" t="s">
        <v>43</v>
      </c>
      <c r="C670" s="12" t="s">
        <v>242</v>
      </c>
      <c r="D670" s="17" t="s">
        <v>243</v>
      </c>
      <c r="E670" s="17"/>
      <c r="F670" s="13" t="n">
        <v>0</v>
      </c>
      <c r="G670" s="13" t="n">
        <v>10</v>
      </c>
      <c r="H670" s="18" t="n">
        <f aca="false">N(G670)-N(F670)</f>
        <v>10</v>
      </c>
      <c r="I670" s="13"/>
    </row>
    <row r="671" customFormat="false" ht="15" hidden="false" customHeight="false" outlineLevel="0" collapsed="false">
      <c r="B671" s="12" t="s">
        <v>43</v>
      </c>
      <c r="C671" s="12" t="s">
        <v>429</v>
      </c>
      <c r="D671" s="17" t="s">
        <v>430</v>
      </c>
      <c r="E671" s="17" t="s">
        <v>68</v>
      </c>
      <c r="F671" s="13" t="n">
        <v>0</v>
      </c>
      <c r="G671" s="13" t="n">
        <v>0</v>
      </c>
      <c r="H671" s="18" t="n">
        <f aca="false">N(G671)-N(F671)</f>
        <v>0</v>
      </c>
      <c r="I671" s="13" t="n">
        <v>60</v>
      </c>
    </row>
    <row r="672" customFormat="false" ht="15" hidden="false" customHeight="false" outlineLevel="0" collapsed="false">
      <c r="B672" s="12" t="s">
        <v>43</v>
      </c>
      <c r="C672" s="12" t="s">
        <v>113</v>
      </c>
      <c r="D672" s="17" t="s">
        <v>114</v>
      </c>
      <c r="E672" s="17" t="s">
        <v>68</v>
      </c>
      <c r="F672" s="13" t="n">
        <v>200</v>
      </c>
      <c r="G672" s="13" t="n">
        <v>33</v>
      </c>
      <c r="H672" s="18" t="n">
        <f aca="false">N(G672)-N(F672)</f>
        <v>-167</v>
      </c>
      <c r="I672" s="13" t="n">
        <v>200</v>
      </c>
    </row>
    <row r="673" customFormat="false" ht="15" hidden="false" customHeight="false" outlineLevel="0" collapsed="false">
      <c r="B673" s="12" t="s">
        <v>43</v>
      </c>
      <c r="C673" s="12" t="s">
        <v>432</v>
      </c>
      <c r="D673" s="17" t="s">
        <v>433</v>
      </c>
      <c r="E673" s="17" t="s">
        <v>68</v>
      </c>
      <c r="F673" s="13" t="n">
        <v>2</v>
      </c>
      <c r="G673" s="13" t="n">
        <v>2</v>
      </c>
      <c r="H673" s="18" t="n">
        <f aca="false">N(G673)-N(F673)</f>
        <v>0</v>
      </c>
      <c r="I673" s="13" t="n">
        <v>2</v>
      </c>
    </row>
    <row r="674" customFormat="false" ht="15" hidden="false" customHeight="false" outlineLevel="0" collapsed="false">
      <c r="B674" s="12" t="s">
        <v>43</v>
      </c>
      <c r="C674" s="12" t="s">
        <v>522</v>
      </c>
      <c r="D674" s="17" t="s">
        <v>523</v>
      </c>
      <c r="E674" s="17"/>
      <c r="F674" s="13" t="n">
        <v>0</v>
      </c>
      <c r="G674" s="13" t="n">
        <v>285</v>
      </c>
      <c r="H674" s="18" t="n">
        <f aca="false">N(G674)-N(F674)</f>
        <v>285</v>
      </c>
      <c r="I674" s="13"/>
    </row>
    <row r="675" customFormat="false" ht="15" hidden="false" customHeight="false" outlineLevel="0" collapsed="false">
      <c r="B675" s="12" t="s">
        <v>43</v>
      </c>
      <c r="C675" s="12" t="s">
        <v>304</v>
      </c>
      <c r="D675" s="17" t="s">
        <v>305</v>
      </c>
      <c r="E675" s="17"/>
      <c r="F675" s="13" t="n">
        <v>0</v>
      </c>
      <c r="G675" s="13" t="n">
        <v>24</v>
      </c>
      <c r="H675" s="18" t="n">
        <f aca="false">N(G675)-N(F675)</f>
        <v>24</v>
      </c>
      <c r="I675" s="13"/>
    </row>
    <row r="676" customFormat="false" ht="15" hidden="false" customHeight="false" outlineLevel="0" collapsed="false">
      <c r="B676" s="12" t="s">
        <v>43</v>
      </c>
      <c r="C676" s="12" t="s">
        <v>115</v>
      </c>
      <c r="D676" s="17" t="s">
        <v>116</v>
      </c>
      <c r="E676" s="17" t="s">
        <v>68</v>
      </c>
      <c r="F676" s="13" t="n">
        <v>0</v>
      </c>
      <c r="G676" s="13" t="n">
        <v>0</v>
      </c>
      <c r="H676" s="18" t="n">
        <f aca="false">N(G676)-N(F676)</f>
        <v>0</v>
      </c>
      <c r="I676" s="13" t="n">
        <v>1</v>
      </c>
    </row>
    <row r="677" customFormat="false" ht="15" hidden="false" customHeight="false" outlineLevel="0" collapsed="false">
      <c r="B677" s="12" t="s">
        <v>43</v>
      </c>
      <c r="C677" s="12" t="s">
        <v>401</v>
      </c>
      <c r="D677" s="17" t="s">
        <v>402</v>
      </c>
      <c r="E677" s="17"/>
      <c r="F677" s="13" t="n">
        <v>0</v>
      </c>
      <c r="G677" s="13" t="n">
        <v>6</v>
      </c>
      <c r="H677" s="18" t="n">
        <f aca="false">N(G677)-N(F677)</f>
        <v>6</v>
      </c>
      <c r="I677" s="13"/>
    </row>
    <row r="678" customFormat="false" ht="15" hidden="false" customHeight="false" outlineLevel="0" collapsed="false">
      <c r="B678" s="12" t="s">
        <v>43</v>
      </c>
      <c r="C678" s="12" t="s">
        <v>369</v>
      </c>
      <c r="D678" s="17" t="s">
        <v>370</v>
      </c>
      <c r="E678" s="17"/>
      <c r="F678" s="13" t="n">
        <v>0</v>
      </c>
      <c r="G678" s="13" t="n">
        <v>2</v>
      </c>
      <c r="H678" s="18" t="n">
        <f aca="false">N(G678)-N(F678)</f>
        <v>2</v>
      </c>
      <c r="I678" s="13"/>
    </row>
    <row r="679" customFormat="false" ht="15" hidden="false" customHeight="false" outlineLevel="0" collapsed="false">
      <c r="B679" s="12" t="s">
        <v>43</v>
      </c>
      <c r="C679" s="12" t="s">
        <v>118</v>
      </c>
      <c r="D679" s="17" t="s">
        <v>119</v>
      </c>
      <c r="E679" s="17" t="s">
        <v>68</v>
      </c>
      <c r="F679" s="13" t="n">
        <v>24</v>
      </c>
      <c r="G679" s="13" t="n">
        <v>29</v>
      </c>
      <c r="H679" s="18" t="n">
        <f aca="false">N(G679)-N(F679)</f>
        <v>5</v>
      </c>
      <c r="I679" s="13" t="n">
        <v>24</v>
      </c>
    </row>
    <row r="680" customFormat="false" ht="15" hidden="false" customHeight="false" outlineLevel="0" collapsed="false">
      <c r="B680" s="12" t="s">
        <v>43</v>
      </c>
      <c r="C680" s="12" t="s">
        <v>334</v>
      </c>
      <c r="D680" s="17" t="s">
        <v>335</v>
      </c>
      <c r="E680" s="17"/>
      <c r="F680" s="13" t="n">
        <v>20</v>
      </c>
      <c r="G680" s="13" t="n">
        <v>20</v>
      </c>
      <c r="H680" s="18" t="n">
        <f aca="false">N(G680)-N(F680)</f>
        <v>0</v>
      </c>
      <c r="I680" s="13"/>
    </row>
    <row r="681" customFormat="false" ht="15" hidden="false" customHeight="false" outlineLevel="0" collapsed="false">
      <c r="B681" s="12" t="s">
        <v>43</v>
      </c>
      <c r="C681" s="12" t="s">
        <v>204</v>
      </c>
      <c r="D681" s="17" t="s">
        <v>205</v>
      </c>
      <c r="E681" s="17" t="s">
        <v>68</v>
      </c>
      <c r="F681" s="13" t="n">
        <v>8</v>
      </c>
      <c r="G681" s="13" t="n">
        <v>9</v>
      </c>
      <c r="H681" s="18" t="n">
        <f aca="false">N(G681)-N(F681)</f>
        <v>1</v>
      </c>
      <c r="I681" s="13" t="n">
        <v>8</v>
      </c>
    </row>
    <row r="682" customFormat="false" ht="15" hidden="false" customHeight="false" outlineLevel="0" collapsed="false">
      <c r="B682" s="12" t="s">
        <v>43</v>
      </c>
      <c r="C682" s="12" t="s">
        <v>99</v>
      </c>
      <c r="D682" s="17" t="s">
        <v>100</v>
      </c>
      <c r="E682" s="17" t="s">
        <v>68</v>
      </c>
      <c r="F682" s="13" t="n">
        <v>138</v>
      </c>
      <c r="G682" s="13" t="n">
        <v>145</v>
      </c>
      <c r="H682" s="18" t="n">
        <f aca="false">N(G682)-N(F682)</f>
        <v>7</v>
      </c>
      <c r="I682" s="13" t="n">
        <v>138</v>
      </c>
    </row>
    <row r="683" customFormat="false" ht="15" hidden="false" customHeight="false" outlineLevel="0" collapsed="false">
      <c r="B683" s="12" t="s">
        <v>43</v>
      </c>
      <c r="C683" s="12" t="s">
        <v>173</v>
      </c>
      <c r="D683" s="17" t="s">
        <v>174</v>
      </c>
      <c r="E683" s="17" t="s">
        <v>68</v>
      </c>
      <c r="F683" s="13" t="n">
        <v>20</v>
      </c>
      <c r="G683" s="13" t="n">
        <v>16</v>
      </c>
      <c r="H683" s="18" t="n">
        <f aca="false">N(G683)-N(F683)</f>
        <v>-4</v>
      </c>
      <c r="I683" s="13" t="n">
        <v>20</v>
      </c>
    </row>
    <row r="684" customFormat="false" ht="15" hidden="false" customHeight="false" outlineLevel="0" collapsed="false">
      <c r="B684" s="12" t="s">
        <v>43</v>
      </c>
      <c r="C684" s="12" t="s">
        <v>336</v>
      </c>
      <c r="D684" s="17" t="s">
        <v>337</v>
      </c>
      <c r="E684" s="17"/>
      <c r="F684" s="13" t="n">
        <v>0</v>
      </c>
      <c r="G684" s="13" t="n">
        <v>20</v>
      </c>
      <c r="H684" s="18" t="n">
        <f aca="false">N(G684)-N(F684)</f>
        <v>20</v>
      </c>
      <c r="I684" s="13"/>
    </row>
    <row r="685" customFormat="false" ht="15" hidden="false" customHeight="false" outlineLevel="0" collapsed="false">
      <c r="B685" s="12" t="s">
        <v>43</v>
      </c>
      <c r="C685" s="12" t="s">
        <v>338</v>
      </c>
      <c r="D685" s="17" t="s">
        <v>339</v>
      </c>
      <c r="E685" s="17" t="s">
        <v>68</v>
      </c>
      <c r="F685" s="13" t="n">
        <v>15</v>
      </c>
      <c r="G685" s="13" t="n">
        <v>10</v>
      </c>
      <c r="H685" s="18" t="n">
        <f aca="false">N(G685)-N(F685)</f>
        <v>-5</v>
      </c>
      <c r="I685" s="13" t="n">
        <v>24</v>
      </c>
    </row>
    <row r="686" customFormat="false" ht="15" hidden="false" customHeight="false" outlineLevel="0" collapsed="false">
      <c r="B686" s="12" t="s">
        <v>43</v>
      </c>
      <c r="C686" s="12" t="s">
        <v>101</v>
      </c>
      <c r="D686" s="17" t="s">
        <v>102</v>
      </c>
      <c r="E686" s="17" t="s">
        <v>68</v>
      </c>
      <c r="F686" s="13" t="n">
        <v>0</v>
      </c>
      <c r="G686" s="13" t="n">
        <v>63</v>
      </c>
      <c r="H686" s="18" t="n">
        <f aca="false">N(G686)-N(F686)</f>
        <v>63</v>
      </c>
      <c r="I686" s="13" t="n">
        <v>30</v>
      </c>
    </row>
    <row r="687" customFormat="false" ht="15" hidden="false" customHeight="false" outlineLevel="0" collapsed="false">
      <c r="B687" s="12" t="s">
        <v>43</v>
      </c>
      <c r="C687" s="12" t="s">
        <v>121</v>
      </c>
      <c r="D687" s="17" t="s">
        <v>122</v>
      </c>
      <c r="E687" s="17" t="s">
        <v>68</v>
      </c>
      <c r="F687" s="13" t="n">
        <v>47</v>
      </c>
      <c r="G687" s="13" t="n">
        <v>65</v>
      </c>
      <c r="H687" s="18" t="n">
        <f aca="false">N(G687)-N(F687)</f>
        <v>18</v>
      </c>
      <c r="I687" s="13" t="n">
        <v>47</v>
      </c>
    </row>
    <row r="688" customFormat="false" ht="15" hidden="false" customHeight="false" outlineLevel="0" collapsed="false">
      <c r="B688" s="12" t="s">
        <v>43</v>
      </c>
      <c r="C688" s="12" t="s">
        <v>605</v>
      </c>
      <c r="D688" s="17" t="s">
        <v>541</v>
      </c>
      <c r="E688" s="17"/>
      <c r="F688" s="13" t="n">
        <v>0</v>
      </c>
      <c r="G688" s="13" t="n">
        <v>2</v>
      </c>
      <c r="H688" s="18" t="n">
        <f aca="false">N(G688)-N(F688)</f>
        <v>2</v>
      </c>
      <c r="I688" s="13"/>
    </row>
    <row r="689" customFormat="false" ht="15" hidden="false" customHeight="false" outlineLevel="0" collapsed="false">
      <c r="B689" s="12" t="s">
        <v>43</v>
      </c>
      <c r="C689" s="12" t="s">
        <v>526</v>
      </c>
      <c r="D689" s="17" t="s">
        <v>527</v>
      </c>
      <c r="E689" s="17"/>
      <c r="F689" s="13" t="n">
        <v>0</v>
      </c>
      <c r="G689" s="13" t="n">
        <v>32</v>
      </c>
      <c r="H689" s="18" t="n">
        <f aca="false">N(G689)-N(F689)</f>
        <v>32</v>
      </c>
      <c r="I689" s="13"/>
    </row>
    <row r="690" customFormat="false" ht="15" hidden="false" customHeight="false" outlineLevel="0" collapsed="false">
      <c r="B690" s="12" t="s">
        <v>43</v>
      </c>
      <c r="C690" s="12" t="s">
        <v>245</v>
      </c>
      <c r="D690" s="17" t="s">
        <v>246</v>
      </c>
      <c r="E690" s="17" t="s">
        <v>68</v>
      </c>
      <c r="F690" s="13" t="n">
        <v>50</v>
      </c>
      <c r="G690" s="13" t="n">
        <v>14</v>
      </c>
      <c r="H690" s="18" t="n">
        <f aca="false">N(G690)-N(F690)</f>
        <v>-36</v>
      </c>
      <c r="I690" s="13" t="n">
        <v>50</v>
      </c>
    </row>
    <row r="691" customFormat="false" ht="15" hidden="false" customHeight="false" outlineLevel="0" collapsed="false">
      <c r="B691" s="12" t="s">
        <v>43</v>
      </c>
      <c r="C691" s="12" t="s">
        <v>141</v>
      </c>
      <c r="D691" s="17" t="s">
        <v>142</v>
      </c>
      <c r="E691" s="17"/>
      <c r="F691" s="13" t="n">
        <v>0</v>
      </c>
      <c r="G691" s="13" t="n">
        <v>9</v>
      </c>
      <c r="H691" s="18" t="n">
        <f aca="false">N(G691)-N(F691)</f>
        <v>9</v>
      </c>
      <c r="I691" s="13"/>
    </row>
    <row r="692" customFormat="false" ht="15" hidden="false" customHeight="false" outlineLevel="0" collapsed="false">
      <c r="B692" s="12" t="s">
        <v>43</v>
      </c>
      <c r="C692" s="12" t="s">
        <v>207</v>
      </c>
      <c r="D692" s="17" t="s">
        <v>208</v>
      </c>
      <c r="E692" s="17" t="s">
        <v>68</v>
      </c>
      <c r="F692" s="13" t="n">
        <v>60</v>
      </c>
      <c r="G692" s="13" t="n">
        <v>30</v>
      </c>
      <c r="H692" s="18" t="n">
        <f aca="false">N(G692)-N(F692)</f>
        <v>-30</v>
      </c>
      <c r="I692" s="13" t="n">
        <v>60</v>
      </c>
    </row>
    <row r="693" customFormat="false" ht="15" hidden="false" customHeight="false" outlineLevel="0" collapsed="false">
      <c r="B693" s="12" t="s">
        <v>43</v>
      </c>
      <c r="C693" s="12" t="s">
        <v>248</v>
      </c>
      <c r="D693" s="17" t="s">
        <v>133</v>
      </c>
      <c r="E693" s="17" t="s">
        <v>68</v>
      </c>
      <c r="F693" s="13" t="n">
        <v>30</v>
      </c>
      <c r="G693" s="13" t="n">
        <v>26</v>
      </c>
      <c r="H693" s="18" t="n">
        <f aca="false">N(G693)-N(F693)</f>
        <v>-4</v>
      </c>
      <c r="I693" s="13" t="n">
        <v>30</v>
      </c>
    </row>
    <row r="694" customFormat="false" ht="15" hidden="false" customHeight="false" outlineLevel="0" collapsed="false">
      <c r="B694" s="12" t="s">
        <v>43</v>
      </c>
      <c r="C694" s="12" t="s">
        <v>210</v>
      </c>
      <c r="D694" s="17" t="s">
        <v>211</v>
      </c>
      <c r="E694" s="17" t="s">
        <v>68</v>
      </c>
      <c r="F694" s="13" t="n">
        <v>60</v>
      </c>
      <c r="G694" s="13" t="n">
        <v>42</v>
      </c>
      <c r="H694" s="18" t="n">
        <f aca="false">N(G694)-N(F694)</f>
        <v>-18</v>
      </c>
      <c r="I694" s="13" t="n">
        <v>60</v>
      </c>
    </row>
    <row r="695" customFormat="false" ht="15" hidden="false" customHeight="false" outlineLevel="0" collapsed="false">
      <c r="B695" s="12" t="s">
        <v>43</v>
      </c>
      <c r="C695" s="12" t="s">
        <v>176</v>
      </c>
      <c r="D695" s="17" t="s">
        <v>177</v>
      </c>
      <c r="E695" s="17" t="s">
        <v>68</v>
      </c>
      <c r="F695" s="13" t="n">
        <v>30</v>
      </c>
      <c r="G695" s="13" t="n">
        <v>17</v>
      </c>
      <c r="H695" s="18" t="n">
        <f aca="false">N(G695)-N(F695)</f>
        <v>-13</v>
      </c>
      <c r="I695" s="13" t="n">
        <v>30</v>
      </c>
    </row>
    <row r="696" customFormat="false" ht="15" hidden="false" customHeight="false" outlineLevel="0" collapsed="false">
      <c r="B696" s="12" t="s">
        <v>43</v>
      </c>
      <c r="C696" s="12" t="s">
        <v>466</v>
      </c>
      <c r="D696" s="17" t="s">
        <v>467</v>
      </c>
      <c r="E696" s="17"/>
      <c r="F696" s="13" t="n">
        <v>0</v>
      </c>
      <c r="G696" s="13" t="n">
        <v>2</v>
      </c>
      <c r="H696" s="18" t="n">
        <f aca="false">N(G696)-N(F696)</f>
        <v>2</v>
      </c>
      <c r="I696" s="13"/>
    </row>
    <row r="697" customFormat="false" ht="15" hidden="false" customHeight="false" outlineLevel="0" collapsed="false">
      <c r="B697" s="12" t="s">
        <v>43</v>
      </c>
      <c r="C697" s="12" t="s">
        <v>340</v>
      </c>
      <c r="D697" s="17" t="s">
        <v>341</v>
      </c>
      <c r="E697" s="17"/>
      <c r="F697" s="13" t="n">
        <v>21</v>
      </c>
      <c r="G697" s="13" t="n">
        <v>10</v>
      </c>
      <c r="H697" s="18" t="n">
        <f aca="false">N(G697)-N(F697)</f>
        <v>-11</v>
      </c>
      <c r="I697" s="13"/>
    </row>
    <row r="698" customFormat="false" ht="15" hidden="false" customHeight="false" outlineLevel="0" collapsed="false">
      <c r="B698" s="12" t="s">
        <v>43</v>
      </c>
      <c r="C698" s="12" t="s">
        <v>103</v>
      </c>
      <c r="D698" s="17" t="s">
        <v>104</v>
      </c>
      <c r="E698" s="17" t="s">
        <v>68</v>
      </c>
      <c r="F698" s="13" t="n">
        <v>620</v>
      </c>
      <c r="G698" s="13" t="n">
        <v>344</v>
      </c>
      <c r="H698" s="18" t="n">
        <f aca="false">N(G698)-N(F698)</f>
        <v>-276</v>
      </c>
      <c r="I698" s="13" t="n">
        <v>670</v>
      </c>
    </row>
    <row r="699" customFormat="false" ht="15" hidden="false" customHeight="false" outlineLevel="0" collapsed="false">
      <c r="B699" s="12" t="s">
        <v>43</v>
      </c>
      <c r="C699" s="12" t="s">
        <v>215</v>
      </c>
      <c r="D699" s="17" t="s">
        <v>216</v>
      </c>
      <c r="E699" s="17" t="s">
        <v>68</v>
      </c>
      <c r="F699" s="13" t="n">
        <v>0</v>
      </c>
      <c r="G699" s="13" t="n">
        <v>4</v>
      </c>
      <c r="H699" s="18" t="n">
        <f aca="false">N(G699)-N(F699)</f>
        <v>4</v>
      </c>
      <c r="I699" s="13" t="n">
        <v>4</v>
      </c>
    </row>
    <row r="700" customFormat="false" ht="15" hidden="false" customHeight="false" outlineLevel="0" collapsed="false">
      <c r="B700" s="12" t="s">
        <v>43</v>
      </c>
      <c r="C700" s="12" t="s">
        <v>610</v>
      </c>
      <c r="D700" s="17" t="s">
        <v>611</v>
      </c>
      <c r="E700" s="17"/>
      <c r="F700" s="13" t="n">
        <v>0</v>
      </c>
      <c r="G700" s="13" t="n">
        <v>8</v>
      </c>
      <c r="H700" s="18" t="n">
        <f aca="false">N(G700)-N(F700)</f>
        <v>8</v>
      </c>
      <c r="I700" s="13"/>
    </row>
    <row r="701" customFormat="false" ht="15" hidden="false" customHeight="false" outlineLevel="0" collapsed="false">
      <c r="B701" s="12" t="s">
        <v>43</v>
      </c>
      <c r="C701" s="12" t="s">
        <v>179</v>
      </c>
      <c r="D701" s="17" t="s">
        <v>180</v>
      </c>
      <c r="E701" s="17" t="s">
        <v>68</v>
      </c>
      <c r="F701" s="13" t="n">
        <v>8</v>
      </c>
      <c r="G701" s="13" t="n">
        <v>7</v>
      </c>
      <c r="H701" s="18" t="n">
        <f aca="false">N(G701)-N(F701)</f>
        <v>-1</v>
      </c>
      <c r="I701" s="13" t="n">
        <v>8</v>
      </c>
    </row>
    <row r="702" customFormat="false" ht="15" hidden="false" customHeight="false" outlineLevel="0" collapsed="false">
      <c r="B702" s="12" t="s">
        <v>43</v>
      </c>
      <c r="C702" s="12" t="s">
        <v>342</v>
      </c>
      <c r="D702" s="17" t="s">
        <v>343</v>
      </c>
      <c r="E702" s="17" t="s">
        <v>68</v>
      </c>
      <c r="F702" s="13" t="n">
        <v>10</v>
      </c>
      <c r="G702" s="13" t="n">
        <v>12</v>
      </c>
      <c r="H702" s="18" t="n">
        <f aca="false">N(G702)-N(F702)</f>
        <v>2</v>
      </c>
      <c r="I702" s="13" t="n">
        <v>10</v>
      </c>
    </row>
    <row r="703" customFormat="false" ht="15" hidden="false" customHeight="false" outlineLevel="0" collapsed="false">
      <c r="B703" s="12" t="s">
        <v>43</v>
      </c>
      <c r="C703" s="12" t="s">
        <v>143</v>
      </c>
      <c r="D703" s="17" t="s">
        <v>144</v>
      </c>
      <c r="E703" s="17" t="s">
        <v>68</v>
      </c>
      <c r="F703" s="13" t="n">
        <v>10</v>
      </c>
      <c r="G703" s="13" t="n">
        <v>14</v>
      </c>
      <c r="H703" s="18" t="n">
        <f aca="false">N(G703)-N(F703)</f>
        <v>4</v>
      </c>
      <c r="I703" s="13" t="n">
        <v>10</v>
      </c>
    </row>
    <row r="704" customFormat="false" ht="15" hidden="false" customHeight="false" outlineLevel="0" collapsed="false">
      <c r="B704" s="12" t="s">
        <v>43</v>
      </c>
      <c r="C704" s="12" t="s">
        <v>146</v>
      </c>
      <c r="D704" s="17" t="s">
        <v>147</v>
      </c>
      <c r="E704" s="17" t="s">
        <v>68</v>
      </c>
      <c r="F704" s="13" t="n">
        <v>18</v>
      </c>
      <c r="G704" s="13" t="n">
        <v>17</v>
      </c>
      <c r="H704" s="18" t="n">
        <f aca="false">N(G704)-N(F704)</f>
        <v>-1</v>
      </c>
      <c r="I704" s="13" t="n">
        <v>18</v>
      </c>
    </row>
    <row r="705" customFormat="false" ht="15" hidden="false" customHeight="false" outlineLevel="0" collapsed="false">
      <c r="B705" s="12" t="s">
        <v>43</v>
      </c>
      <c r="C705" s="12" t="s">
        <v>182</v>
      </c>
      <c r="D705" s="17" t="s">
        <v>183</v>
      </c>
      <c r="E705" s="17" t="s">
        <v>68</v>
      </c>
      <c r="F705" s="13" t="n">
        <v>26</v>
      </c>
      <c r="G705" s="13" t="n">
        <v>25</v>
      </c>
      <c r="H705" s="18" t="n">
        <f aca="false">N(G705)-N(F705)</f>
        <v>-1</v>
      </c>
      <c r="I705" s="13" t="n">
        <v>26</v>
      </c>
    </row>
    <row r="706" customFormat="false" ht="15" hidden="false" customHeight="false" outlineLevel="0" collapsed="false">
      <c r="B706" s="12" t="s">
        <v>43</v>
      </c>
      <c r="C706" s="12" t="s">
        <v>372</v>
      </c>
      <c r="D706" s="17" t="s">
        <v>373</v>
      </c>
      <c r="E706" s="17"/>
      <c r="F706" s="13" t="n">
        <v>0</v>
      </c>
      <c r="G706" s="13" t="n">
        <v>2</v>
      </c>
      <c r="H706" s="18" t="n">
        <f aca="false">N(G706)-N(F706)</f>
        <v>2</v>
      </c>
      <c r="I706" s="13"/>
    </row>
    <row r="707" customFormat="false" ht="15" hidden="false" customHeight="false" outlineLevel="0" collapsed="false">
      <c r="B707" s="12" t="s">
        <v>43</v>
      </c>
      <c r="C707" s="12" t="s">
        <v>250</v>
      </c>
      <c r="D707" s="17" t="s">
        <v>251</v>
      </c>
      <c r="E707" s="17"/>
      <c r="F707" s="13" t="n">
        <v>20</v>
      </c>
      <c r="G707" s="13" t="n">
        <v>22</v>
      </c>
      <c r="H707" s="18" t="n">
        <f aca="false">N(G707)-N(F707)</f>
        <v>2</v>
      </c>
      <c r="I707" s="13"/>
    </row>
    <row r="708" customFormat="false" ht="15" hidden="false" customHeight="false" outlineLevel="0" collapsed="false">
      <c r="B708" s="12" t="s">
        <v>43</v>
      </c>
      <c r="C708" s="12" t="s">
        <v>148</v>
      </c>
      <c r="D708" s="17" t="s">
        <v>149</v>
      </c>
      <c r="E708" s="17" t="s">
        <v>68</v>
      </c>
      <c r="F708" s="13" t="n">
        <v>20</v>
      </c>
      <c r="G708" s="13" t="n">
        <v>32</v>
      </c>
      <c r="H708" s="18" t="n">
        <f aca="false">N(G708)-N(F708)</f>
        <v>12</v>
      </c>
      <c r="I708" s="13" t="n">
        <v>20</v>
      </c>
    </row>
    <row r="709" customFormat="false" ht="15" hidden="false" customHeight="false" outlineLevel="0" collapsed="false">
      <c r="B709" s="12" t="s">
        <v>43</v>
      </c>
      <c r="C709" s="12" t="s">
        <v>345</v>
      </c>
      <c r="D709" s="17" t="s">
        <v>346</v>
      </c>
      <c r="E709" s="17"/>
      <c r="F709" s="13" t="n">
        <v>0</v>
      </c>
      <c r="G709" s="13" t="n">
        <v>40</v>
      </c>
      <c r="H709" s="18" t="n">
        <f aca="false">N(G709)-N(F709)</f>
        <v>40</v>
      </c>
      <c r="I709" s="13"/>
    </row>
    <row r="710" customFormat="false" ht="15" hidden="false" customHeight="false" outlineLevel="0" collapsed="false">
      <c r="B710" s="12" t="s">
        <v>43</v>
      </c>
      <c r="C710" s="12" t="s">
        <v>123</v>
      </c>
      <c r="D710" s="17" t="s">
        <v>124</v>
      </c>
      <c r="E710" s="17"/>
      <c r="F710" s="13" t="n">
        <v>550</v>
      </c>
      <c r="G710" s="13" t="n">
        <v>661</v>
      </c>
      <c r="H710" s="18" t="n">
        <f aca="false">N(G710)-N(F710)</f>
        <v>111</v>
      </c>
      <c r="I710" s="13"/>
    </row>
    <row r="711" customFormat="false" ht="15" hidden="false" customHeight="false" outlineLevel="0" collapsed="false">
      <c r="B711" s="12" t="s">
        <v>43</v>
      </c>
      <c r="C711" s="12" t="s">
        <v>352</v>
      </c>
      <c r="D711" s="17" t="s">
        <v>353</v>
      </c>
      <c r="E711" s="17" t="s">
        <v>68</v>
      </c>
      <c r="F711" s="13" t="n">
        <v>40</v>
      </c>
      <c r="G711" s="13" t="n">
        <v>40</v>
      </c>
      <c r="H711" s="18" t="n">
        <f aca="false">N(G711)-N(F711)</f>
        <v>0</v>
      </c>
      <c r="I711" s="13" t="n">
        <v>40</v>
      </c>
    </row>
    <row r="712" customFormat="false" ht="15" hidden="false" customHeight="false" outlineLevel="0" collapsed="false">
      <c r="B712" s="12" t="s">
        <v>43</v>
      </c>
      <c r="C712" s="12" t="s">
        <v>105</v>
      </c>
      <c r="D712" s="17" t="s">
        <v>106</v>
      </c>
      <c r="E712" s="17" t="s">
        <v>68</v>
      </c>
      <c r="F712" s="13" t="n">
        <v>155</v>
      </c>
      <c r="G712" s="13" t="n">
        <v>161</v>
      </c>
      <c r="H712" s="18" t="n">
        <f aca="false">N(G712)-N(F712)</f>
        <v>6</v>
      </c>
      <c r="I712" s="13" t="n">
        <v>155</v>
      </c>
    </row>
    <row r="713" customFormat="false" ht="15" hidden="false" customHeight="false" outlineLevel="0" collapsed="false">
      <c r="B713" s="12" t="s">
        <v>43</v>
      </c>
      <c r="C713" s="12" t="s">
        <v>107</v>
      </c>
      <c r="D713" s="17" t="s">
        <v>108</v>
      </c>
      <c r="E713" s="17"/>
      <c r="F713" s="13" t="n">
        <v>0</v>
      </c>
      <c r="G713" s="13" t="n">
        <v>81</v>
      </c>
      <c r="H713" s="18" t="n">
        <f aca="false">N(G713)-N(F713)</f>
        <v>81</v>
      </c>
      <c r="I713" s="13"/>
    </row>
    <row r="714" customFormat="false" ht="15" hidden="false" customHeight="false" outlineLevel="0" collapsed="false">
      <c r="B714" s="12" t="s">
        <v>43</v>
      </c>
      <c r="C714" s="12" t="s">
        <v>310</v>
      </c>
      <c r="D714" s="17" t="s">
        <v>311</v>
      </c>
      <c r="E714" s="17" t="s">
        <v>68</v>
      </c>
      <c r="F714" s="13" t="n">
        <v>10</v>
      </c>
      <c r="G714" s="13" t="n">
        <v>12</v>
      </c>
      <c r="H714" s="18" t="n">
        <f aca="false">N(G714)-N(F714)</f>
        <v>2</v>
      </c>
      <c r="I714" s="13" t="n">
        <v>10</v>
      </c>
    </row>
    <row r="715" customFormat="false" ht="15" hidden="false" customHeight="false" outlineLevel="0" collapsed="false">
      <c r="B715" s="12" t="s">
        <v>43</v>
      </c>
      <c r="C715" s="12" t="s">
        <v>375</v>
      </c>
      <c r="D715" s="17" t="s">
        <v>376</v>
      </c>
      <c r="E715" s="17"/>
      <c r="F715" s="13" t="n">
        <v>0</v>
      </c>
      <c r="G715" s="13" t="n">
        <v>4</v>
      </c>
      <c r="H715" s="18" t="n">
        <f aca="false">N(G715)-N(F715)</f>
        <v>4</v>
      </c>
      <c r="I715" s="13"/>
    </row>
    <row r="716" customFormat="false" ht="15" hidden="false" customHeight="false" outlineLevel="0" collapsed="false">
      <c r="B716" s="12" t="s">
        <v>43</v>
      </c>
      <c r="C716" s="12" t="s">
        <v>354</v>
      </c>
      <c r="D716" s="17" t="s">
        <v>355</v>
      </c>
      <c r="E716" s="17"/>
      <c r="F716" s="13" t="n">
        <v>15</v>
      </c>
      <c r="G716" s="13" t="n">
        <v>14</v>
      </c>
      <c r="H716" s="18" t="n">
        <f aca="false">N(G716)-N(F716)</f>
        <v>-1</v>
      </c>
      <c r="I716" s="13"/>
    </row>
    <row r="717" customFormat="false" ht="15" hidden="false" customHeight="false" outlineLevel="0" collapsed="false">
      <c r="B717" s="12" t="s">
        <v>43</v>
      </c>
      <c r="C717" s="12" t="s">
        <v>356</v>
      </c>
      <c r="D717" s="17" t="s">
        <v>357</v>
      </c>
      <c r="E717" s="17" t="s">
        <v>68</v>
      </c>
      <c r="F717" s="13" t="n">
        <v>8</v>
      </c>
      <c r="G717" s="13" t="n">
        <v>9</v>
      </c>
      <c r="H717" s="18" t="n">
        <f aca="false">N(G717)-N(F717)</f>
        <v>1</v>
      </c>
      <c r="I717" s="13" t="n">
        <v>8</v>
      </c>
    </row>
    <row r="718" customFormat="false" ht="15" hidden="false" customHeight="false" outlineLevel="0" collapsed="false">
      <c r="B718" s="12" t="s">
        <v>43</v>
      </c>
      <c r="C718" s="12" t="s">
        <v>150</v>
      </c>
      <c r="D718" s="17" t="s">
        <v>151</v>
      </c>
      <c r="E718" s="17" t="s">
        <v>68</v>
      </c>
      <c r="F718" s="13" t="n">
        <v>10</v>
      </c>
      <c r="G718" s="13" t="n">
        <v>16</v>
      </c>
      <c r="H718" s="18" t="n">
        <f aca="false">N(G718)-N(F718)</f>
        <v>6</v>
      </c>
      <c r="I718" s="13" t="n">
        <v>10</v>
      </c>
    </row>
    <row r="719" customFormat="false" ht="15" hidden="false" customHeight="false" outlineLevel="0" collapsed="false">
      <c r="B719" s="12" t="s">
        <v>43</v>
      </c>
      <c r="C719" s="12" t="s">
        <v>184</v>
      </c>
      <c r="D719" s="17" t="s">
        <v>185</v>
      </c>
      <c r="E719" s="17" t="s">
        <v>68</v>
      </c>
      <c r="F719" s="13" t="n">
        <v>8</v>
      </c>
      <c r="G719" s="13" t="n">
        <v>7</v>
      </c>
      <c r="H719" s="18" t="n">
        <f aca="false">N(G719)-N(F719)</f>
        <v>-1</v>
      </c>
      <c r="I719" s="13" t="n">
        <v>8</v>
      </c>
    </row>
    <row r="720" customFormat="false" ht="15" hidden="false" customHeight="false" outlineLevel="0" collapsed="false">
      <c r="B720" s="12" t="s">
        <v>43</v>
      </c>
      <c r="C720" s="12" t="s">
        <v>404</v>
      </c>
      <c r="D720" s="17" t="s">
        <v>405</v>
      </c>
      <c r="E720" s="17"/>
      <c r="F720" s="13" t="n">
        <v>0</v>
      </c>
      <c r="G720" s="13" t="n">
        <v>1</v>
      </c>
      <c r="H720" s="18" t="n">
        <f aca="false">N(G720)-N(F720)</f>
        <v>1</v>
      </c>
      <c r="I720" s="13"/>
    </row>
    <row r="721" customFormat="false" ht="15" hidden="false" customHeight="false" outlineLevel="0" collapsed="false">
      <c r="B721" s="12" t="s">
        <v>43</v>
      </c>
      <c r="C721" s="12" t="s">
        <v>472</v>
      </c>
      <c r="D721" s="17" t="s">
        <v>473</v>
      </c>
      <c r="E721" s="17" t="s">
        <v>68</v>
      </c>
      <c r="F721" s="13" t="n">
        <v>0</v>
      </c>
      <c r="G721" s="13" t="n">
        <v>2</v>
      </c>
      <c r="H721" s="18" t="n">
        <f aca="false">N(G721)-N(F721)</f>
        <v>2</v>
      </c>
      <c r="I721" s="13" t="n">
        <v>1</v>
      </c>
    </row>
    <row r="722" customFormat="false" ht="15" hidden="false" customHeight="false" outlineLevel="0" collapsed="false">
      <c r="B722" s="12" t="s">
        <v>43</v>
      </c>
      <c r="C722" s="12" t="s">
        <v>359</v>
      </c>
      <c r="D722" s="17" t="s">
        <v>360</v>
      </c>
      <c r="E722" s="17" t="s">
        <v>68</v>
      </c>
      <c r="F722" s="13" t="n">
        <v>40</v>
      </c>
      <c r="G722" s="13" t="n">
        <v>10</v>
      </c>
      <c r="H722" s="18" t="n">
        <f aca="false">N(G722)-N(F722)</f>
        <v>-30</v>
      </c>
      <c r="I722" s="13" t="n">
        <v>25</v>
      </c>
    </row>
    <row r="723" customFormat="false" ht="15" hidden="false" customHeight="false" outlineLevel="0" collapsed="false">
      <c r="B723" s="12" t="s">
        <v>43</v>
      </c>
      <c r="C723" s="12" t="s">
        <v>252</v>
      </c>
      <c r="D723" s="17" t="s">
        <v>253</v>
      </c>
      <c r="E723" s="17"/>
      <c r="F723" s="13" t="n">
        <v>0</v>
      </c>
      <c r="G723" s="13" t="n">
        <v>18</v>
      </c>
      <c r="H723" s="18" t="n">
        <f aca="false">N(G723)-N(F723)</f>
        <v>18</v>
      </c>
      <c r="I723" s="13"/>
    </row>
    <row r="724" customFormat="false" ht="15" hidden="false" customHeight="false" outlineLevel="0" collapsed="false">
      <c r="B724" s="12" t="s">
        <v>43</v>
      </c>
      <c r="C724" s="12" t="s">
        <v>152</v>
      </c>
      <c r="D724" s="17" t="s">
        <v>153</v>
      </c>
      <c r="E724" s="17"/>
      <c r="F724" s="13" t="n">
        <v>0</v>
      </c>
      <c r="G724" s="13" t="n">
        <v>33</v>
      </c>
      <c r="H724" s="18" t="n">
        <f aca="false">N(G724)-N(F724)</f>
        <v>33</v>
      </c>
      <c r="I724" s="13"/>
    </row>
    <row r="725" customFormat="false" ht="15" hidden="false" customHeight="false" outlineLevel="0" collapsed="false">
      <c r="B725" s="12" t="s">
        <v>43</v>
      </c>
      <c r="C725" s="12" t="s">
        <v>378</v>
      </c>
      <c r="D725" s="17" t="s">
        <v>379</v>
      </c>
      <c r="E725" s="17"/>
      <c r="F725" s="13" t="n">
        <v>0</v>
      </c>
      <c r="G725" s="13" t="n">
        <v>2</v>
      </c>
      <c r="H725" s="18" t="n">
        <f aca="false">N(G725)-N(F725)</f>
        <v>2</v>
      </c>
      <c r="I725" s="13"/>
    </row>
    <row r="726" customFormat="false" ht="15" hidden="false" customHeight="false" outlineLevel="0" collapsed="false">
      <c r="B726" s="12" t="s">
        <v>43</v>
      </c>
      <c r="C726" s="12" t="s">
        <v>627</v>
      </c>
      <c r="D726" s="17" t="s">
        <v>628</v>
      </c>
      <c r="E726" s="17" t="s">
        <v>68</v>
      </c>
      <c r="F726" s="13" t="n">
        <v>30</v>
      </c>
      <c r="G726" s="13" t="n">
        <v>8</v>
      </c>
      <c r="H726" s="18" t="n">
        <f aca="false">N(G726)-N(F726)</f>
        <v>-22</v>
      </c>
      <c r="I726" s="13" t="n">
        <v>30</v>
      </c>
    </row>
    <row r="727" customFormat="false" ht="15" hidden="false" customHeight="false" outlineLevel="0" collapsed="false">
      <c r="B727" s="12" t="s">
        <v>43</v>
      </c>
      <c r="C727" s="12" t="s">
        <v>155</v>
      </c>
      <c r="D727" s="17" t="s">
        <v>156</v>
      </c>
      <c r="E727" s="17" t="s">
        <v>68</v>
      </c>
      <c r="F727" s="13" t="n">
        <v>9</v>
      </c>
      <c r="G727" s="13" t="n">
        <v>12</v>
      </c>
      <c r="H727" s="18" t="n">
        <f aca="false">N(G727)-N(F727)</f>
        <v>3</v>
      </c>
      <c r="I727" s="13" t="n">
        <v>9</v>
      </c>
    </row>
    <row r="728" customFormat="false" ht="15" hidden="false" customHeight="false" outlineLevel="0" collapsed="false">
      <c r="B728" s="12" t="s">
        <v>43</v>
      </c>
      <c r="C728" s="12" t="s">
        <v>255</v>
      </c>
      <c r="D728" s="17" t="s">
        <v>256</v>
      </c>
      <c r="E728" s="17" t="s">
        <v>94</v>
      </c>
      <c r="F728" s="13" t="n">
        <v>8826</v>
      </c>
      <c r="G728" s="13" t="n">
        <v>8571</v>
      </c>
      <c r="H728" s="18" t="n">
        <f aca="false">N(G728)-N(F728)</f>
        <v>-255</v>
      </c>
      <c r="I728" s="13" t="n">
        <v>8860.5029</v>
      </c>
    </row>
    <row r="729" customFormat="false" ht="15" hidden="false" customHeight="false" outlineLevel="0" collapsed="false">
      <c r="B729" s="12" t="s">
        <v>43</v>
      </c>
      <c r="C729" s="12" t="s">
        <v>361</v>
      </c>
      <c r="D729" s="17" t="s">
        <v>362</v>
      </c>
      <c r="E729" s="17"/>
      <c r="F729" s="13" t="n">
        <v>0</v>
      </c>
      <c r="G729" s="13" t="n">
        <v>2</v>
      </c>
      <c r="H729" s="18" t="n">
        <f aca="false">N(G729)-N(F729)</f>
        <v>2</v>
      </c>
      <c r="I729" s="13"/>
    </row>
    <row r="730" customFormat="false" ht="15" hidden="false" customHeight="false" outlineLevel="0" collapsed="false">
      <c r="B730" s="12" t="s">
        <v>43</v>
      </c>
      <c r="C730" s="12" t="s">
        <v>157</v>
      </c>
      <c r="D730" s="17" t="s">
        <v>158</v>
      </c>
      <c r="E730" s="17" t="s">
        <v>68</v>
      </c>
      <c r="F730" s="13" t="n">
        <v>35</v>
      </c>
      <c r="G730" s="13" t="n">
        <v>33</v>
      </c>
      <c r="H730" s="18" t="n">
        <f aca="false">N(G730)-N(F730)</f>
        <v>-2</v>
      </c>
      <c r="I730" s="13" t="n">
        <v>35</v>
      </c>
    </row>
    <row r="731" customFormat="false" ht="15" hidden="false" customHeight="false" outlineLevel="0" collapsed="false">
      <c r="B731" s="12" t="s">
        <v>43</v>
      </c>
      <c r="C731" s="12" t="s">
        <v>637</v>
      </c>
      <c r="D731" s="17" t="s">
        <v>638</v>
      </c>
      <c r="E731" s="17"/>
      <c r="F731" s="13" t="n">
        <v>0</v>
      </c>
      <c r="G731" s="13" t="n">
        <v>3</v>
      </c>
      <c r="H731" s="18" t="n">
        <f aca="false">N(G731)-N(F731)</f>
        <v>3</v>
      </c>
      <c r="I731" s="13"/>
    </row>
    <row r="732" customFormat="false" ht="15" hidden="false" customHeight="false" outlineLevel="0" collapsed="false">
      <c r="B732" s="12" t="s">
        <v>43</v>
      </c>
      <c r="C732" s="12" t="s">
        <v>639</v>
      </c>
      <c r="D732" s="17" t="s">
        <v>638</v>
      </c>
      <c r="E732" s="17"/>
      <c r="F732" s="13" t="n">
        <v>0</v>
      </c>
      <c r="G732" s="13" t="n">
        <v>1</v>
      </c>
      <c r="H732" s="18" t="n">
        <f aca="false">N(G732)-N(F732)</f>
        <v>1</v>
      </c>
      <c r="I732" s="13"/>
    </row>
    <row r="733" customFormat="false" ht="15" hidden="false" customHeight="false" outlineLevel="0" collapsed="false">
      <c r="B733" s="12" t="s">
        <v>43</v>
      </c>
      <c r="C733" s="12" t="s">
        <v>640</v>
      </c>
      <c r="D733" s="17" t="s">
        <v>641</v>
      </c>
      <c r="E733" s="17"/>
      <c r="F733" s="13" t="n">
        <v>0</v>
      </c>
      <c r="G733" s="13" t="n">
        <v>4</v>
      </c>
      <c r="H733" s="18" t="n">
        <f aca="false">N(G733)-N(F733)</f>
        <v>4</v>
      </c>
      <c r="I733" s="13"/>
    </row>
    <row r="734" customFormat="false" ht="15" hidden="false" customHeight="false" outlineLevel="0" collapsed="false">
      <c r="B734" s="12" t="s">
        <v>43</v>
      </c>
      <c r="C734" s="12" t="s">
        <v>218</v>
      </c>
      <c r="D734" s="17" t="s">
        <v>219</v>
      </c>
      <c r="E734" s="17" t="s">
        <v>68</v>
      </c>
      <c r="F734" s="13" t="n">
        <v>40</v>
      </c>
      <c r="G734" s="13" t="n">
        <v>49</v>
      </c>
      <c r="H734" s="18" t="n">
        <f aca="false">N(G734)-N(F734)</f>
        <v>9</v>
      </c>
      <c r="I734" s="13" t="n">
        <v>40</v>
      </c>
    </row>
    <row r="735" customFormat="false" ht="15" hidden="false" customHeight="false" outlineLevel="0" collapsed="false">
      <c r="B735" s="12" t="s">
        <v>43</v>
      </c>
      <c r="C735" s="12" t="s">
        <v>221</v>
      </c>
      <c r="D735" s="17" t="s">
        <v>222</v>
      </c>
      <c r="E735" s="17" t="s">
        <v>68</v>
      </c>
      <c r="F735" s="13" t="n">
        <v>15</v>
      </c>
      <c r="G735" s="13" t="n">
        <v>14</v>
      </c>
      <c r="H735" s="18" t="n">
        <f aca="false">N(G735)-N(F735)</f>
        <v>-1</v>
      </c>
      <c r="I735" s="13" t="n">
        <v>15</v>
      </c>
    </row>
    <row r="736" customFormat="false" ht="15" hidden="false" customHeight="false" outlineLevel="0" collapsed="false">
      <c r="B736" s="12" t="s">
        <v>43</v>
      </c>
      <c r="C736" s="12" t="s">
        <v>643</v>
      </c>
      <c r="D736" s="17" t="s">
        <v>644</v>
      </c>
      <c r="E736" s="17"/>
      <c r="F736" s="13" t="n">
        <v>0</v>
      </c>
      <c r="G736" s="13" t="n">
        <v>8</v>
      </c>
      <c r="H736" s="18" t="n">
        <f aca="false">N(G736)-N(F736)</f>
        <v>8</v>
      </c>
      <c r="I736" s="13"/>
    </row>
    <row r="737" customFormat="false" ht="15" hidden="false" customHeight="false" outlineLevel="0" collapsed="false">
      <c r="B737" s="12" t="s">
        <v>43</v>
      </c>
      <c r="C737" s="12" t="s">
        <v>159</v>
      </c>
      <c r="D737" s="17" t="s">
        <v>160</v>
      </c>
      <c r="E737" s="17" t="s">
        <v>68</v>
      </c>
      <c r="F737" s="13" t="n">
        <v>6</v>
      </c>
      <c r="G737" s="13" t="n">
        <v>7</v>
      </c>
      <c r="H737" s="18" t="n">
        <f aca="false">N(G737)-N(F737)</f>
        <v>1</v>
      </c>
      <c r="I737" s="13" t="n">
        <v>11</v>
      </c>
    </row>
    <row r="738" customFormat="false" ht="15" hidden="false" customHeight="false" outlineLevel="0" collapsed="false">
      <c r="B738" s="12" t="s">
        <v>43</v>
      </c>
      <c r="C738" s="12" t="s">
        <v>440</v>
      </c>
      <c r="D738" s="17" t="s">
        <v>441</v>
      </c>
      <c r="E738" s="17"/>
      <c r="F738" s="13" t="n">
        <v>0</v>
      </c>
      <c r="G738" s="13" t="n">
        <v>1</v>
      </c>
      <c r="H738" s="18" t="n">
        <f aca="false">N(G738)-N(F738)</f>
        <v>1</v>
      </c>
      <c r="I738" s="13"/>
    </row>
    <row r="739" customFormat="false" ht="15" hidden="false" customHeight="false" outlineLevel="0" collapsed="false">
      <c r="B739" s="12" t="s">
        <v>43</v>
      </c>
      <c r="C739" s="12" t="s">
        <v>645</v>
      </c>
      <c r="D739" s="17" t="s">
        <v>646</v>
      </c>
      <c r="E739" s="17"/>
      <c r="F739" s="13" t="n">
        <v>0</v>
      </c>
      <c r="G739" s="13" t="n">
        <v>16</v>
      </c>
      <c r="H739" s="18" t="n">
        <f aca="false">N(G739)-N(F739)</f>
        <v>16</v>
      </c>
      <c r="I739" s="13"/>
    </row>
    <row r="740" customFormat="false" ht="15" hidden="false" customHeight="false" outlineLevel="0" collapsed="false">
      <c r="B740" s="12" t="s">
        <v>43</v>
      </c>
      <c r="C740" s="12" t="s">
        <v>647</v>
      </c>
      <c r="D740" s="17" t="s">
        <v>648</v>
      </c>
      <c r="E740" s="17"/>
      <c r="F740" s="13" t="n">
        <v>0</v>
      </c>
      <c r="G740" s="13" t="n">
        <v>16</v>
      </c>
      <c r="H740" s="18" t="n">
        <f aca="false">N(G740)-N(F740)</f>
        <v>16</v>
      </c>
      <c r="I740" s="13"/>
    </row>
    <row r="741" customFormat="false" ht="15" hidden="false" customHeight="false" outlineLevel="0" collapsed="false">
      <c r="B741" s="12" t="s">
        <v>43</v>
      </c>
      <c r="C741" s="12" t="s">
        <v>125</v>
      </c>
      <c r="D741" s="17" t="s">
        <v>126</v>
      </c>
      <c r="E741" s="17" t="s">
        <v>68</v>
      </c>
      <c r="F741" s="13" t="n">
        <v>26</v>
      </c>
      <c r="G741" s="13" t="n">
        <v>28</v>
      </c>
      <c r="H741" s="18" t="n">
        <f aca="false">N(G741)-N(F741)</f>
        <v>2</v>
      </c>
      <c r="I741" s="13" t="n">
        <v>26</v>
      </c>
    </row>
    <row r="742" customFormat="false" ht="15" hidden="false" customHeight="false" outlineLevel="0" collapsed="false">
      <c r="B742" s="12" t="s">
        <v>43</v>
      </c>
      <c r="C742" s="12" t="s">
        <v>651</v>
      </c>
      <c r="D742" s="17" t="s">
        <v>652</v>
      </c>
      <c r="E742" s="17"/>
      <c r="F742" s="13" t="n">
        <v>0</v>
      </c>
      <c r="G742" s="13" t="n">
        <v>12</v>
      </c>
      <c r="H742" s="18" t="n">
        <f aca="false">N(G742)-N(F742)</f>
        <v>12</v>
      </c>
      <c r="I742" s="13"/>
    </row>
    <row r="743" customFormat="false" ht="15" hidden="false" customHeight="false" outlineLevel="0" collapsed="false">
      <c r="B743" s="12" t="s">
        <v>43</v>
      </c>
      <c r="C743" s="12" t="s">
        <v>127</v>
      </c>
      <c r="D743" s="17" t="s">
        <v>128</v>
      </c>
      <c r="E743" s="17" t="s">
        <v>68</v>
      </c>
      <c r="F743" s="13" t="n">
        <v>56</v>
      </c>
      <c r="G743" s="13" t="n">
        <v>56</v>
      </c>
      <c r="H743" s="18" t="n">
        <f aca="false">N(G743)-N(F743)</f>
        <v>0</v>
      </c>
      <c r="I743" s="13" t="n">
        <v>56</v>
      </c>
    </row>
    <row r="744" customFormat="false" ht="15" hidden="false" customHeight="false" outlineLevel="0" collapsed="false">
      <c r="B744" s="12" t="s">
        <v>43</v>
      </c>
      <c r="C744" s="12" t="s">
        <v>258</v>
      </c>
      <c r="D744" s="17" t="s">
        <v>259</v>
      </c>
      <c r="E744" s="17" t="s">
        <v>68</v>
      </c>
      <c r="F744" s="13" t="n">
        <v>46</v>
      </c>
      <c r="G744" s="13" t="n">
        <v>55</v>
      </c>
      <c r="H744" s="18" t="n">
        <f aca="false">N(G744)-N(F744)</f>
        <v>9</v>
      </c>
      <c r="I744" s="13" t="n">
        <v>46</v>
      </c>
    </row>
    <row r="745" customFormat="false" ht="15" hidden="false" customHeight="false" outlineLevel="0" collapsed="false">
      <c r="B745" s="12" t="s">
        <v>43</v>
      </c>
      <c r="C745" s="12" t="s">
        <v>260</v>
      </c>
      <c r="D745" s="17" t="s">
        <v>261</v>
      </c>
      <c r="E745" s="17"/>
      <c r="F745" s="13" t="n">
        <v>4</v>
      </c>
      <c r="G745" s="13" t="n">
        <v>4</v>
      </c>
      <c r="H745" s="18" t="n">
        <f aca="false">N(G745)-N(F745)</f>
        <v>0</v>
      </c>
      <c r="I745" s="13"/>
    </row>
    <row r="746" customFormat="false" ht="15" hidden="false" customHeight="false" outlineLevel="0" collapsed="false">
      <c r="B746" s="12" t="s">
        <v>43</v>
      </c>
      <c r="C746" s="12" t="s">
        <v>224</v>
      </c>
      <c r="D746" s="17" t="s">
        <v>225</v>
      </c>
      <c r="E746" s="17"/>
      <c r="F746" s="13" t="n">
        <v>27</v>
      </c>
      <c r="G746" s="13" t="n">
        <v>23</v>
      </c>
      <c r="H746" s="18" t="n">
        <f aca="false">N(G746)-N(F746)</f>
        <v>-4</v>
      </c>
      <c r="I746" s="13"/>
    </row>
    <row r="747" customFormat="false" ht="15" hidden="false" customHeight="false" outlineLevel="0" collapsed="false">
      <c r="B747" s="12" t="s">
        <v>43</v>
      </c>
      <c r="C747" s="12" t="s">
        <v>277</v>
      </c>
      <c r="D747" s="17" t="s">
        <v>278</v>
      </c>
      <c r="E747" s="17"/>
      <c r="F747" s="13" t="n">
        <v>100</v>
      </c>
      <c r="G747" s="13" t="n">
        <v>0</v>
      </c>
      <c r="H747" s="18" t="n">
        <f aca="false">N(G747)-N(F747)</f>
        <v>-100</v>
      </c>
      <c r="I747" s="13"/>
    </row>
    <row r="748" customFormat="false" ht="15" hidden="false" customHeight="false" outlineLevel="0" collapsed="false">
      <c r="B748" s="12" t="s">
        <v>43</v>
      </c>
      <c r="C748" s="12" t="s">
        <v>161</v>
      </c>
      <c r="D748" s="17" t="s">
        <v>162</v>
      </c>
      <c r="E748" s="17" t="s">
        <v>94</v>
      </c>
      <c r="F748" s="13" t="n">
        <v>0</v>
      </c>
      <c r="G748" s="13" t="n">
        <v>3377</v>
      </c>
      <c r="H748" s="18" t="n">
        <f aca="false">N(G748)-N(F748)</f>
        <v>3377</v>
      </c>
      <c r="I748" s="13" t="n">
        <v>319.1489</v>
      </c>
    </row>
    <row r="749" customFormat="false" ht="15" hidden="false" customHeight="false" outlineLevel="0" collapsed="false">
      <c r="B749" s="12" t="s">
        <v>43</v>
      </c>
      <c r="C749" s="12" t="s">
        <v>655</v>
      </c>
      <c r="D749" s="17" t="s">
        <v>656</v>
      </c>
      <c r="E749" s="17"/>
      <c r="F749" s="13" t="n">
        <v>0</v>
      </c>
      <c r="G749" s="13" t="n">
        <v>12</v>
      </c>
      <c r="H749" s="18" t="n">
        <f aca="false">N(G749)-N(F749)</f>
        <v>12</v>
      </c>
      <c r="I749" s="13"/>
    </row>
    <row r="750" customFormat="false" ht="15" hidden="false" customHeight="false" outlineLevel="0" collapsed="false">
      <c r="B750" s="12" t="s">
        <v>43</v>
      </c>
      <c r="C750" s="12" t="s">
        <v>657</v>
      </c>
      <c r="D750" s="17" t="s">
        <v>658</v>
      </c>
      <c r="E750" s="17"/>
      <c r="F750" s="13" t="n">
        <v>0</v>
      </c>
      <c r="G750" s="13" t="n">
        <v>1</v>
      </c>
      <c r="H750" s="18" t="n">
        <f aca="false">N(G750)-N(F750)</f>
        <v>1</v>
      </c>
      <c r="I750" s="13"/>
    </row>
    <row r="751" customFormat="false" ht="15" hidden="false" customHeight="false" outlineLevel="0" collapsed="false">
      <c r="B751" s="12" t="s">
        <v>43</v>
      </c>
      <c r="C751" s="12" t="s">
        <v>663</v>
      </c>
      <c r="D751" s="17" t="s">
        <v>664</v>
      </c>
      <c r="E751" s="17"/>
      <c r="F751" s="13" t="n">
        <v>0</v>
      </c>
      <c r="G751" s="13" t="n">
        <v>1</v>
      </c>
      <c r="H751" s="18" t="n">
        <f aca="false">N(G751)-N(F751)</f>
        <v>1</v>
      </c>
      <c r="I751" s="13"/>
    </row>
    <row r="752" customFormat="false" ht="15" hidden="false" customHeight="false" outlineLevel="0" collapsed="false">
      <c r="B752" s="12" t="s">
        <v>43</v>
      </c>
      <c r="C752" s="12" t="s">
        <v>665</v>
      </c>
      <c r="D752" s="17" t="s">
        <v>664</v>
      </c>
      <c r="E752" s="17" t="s">
        <v>68</v>
      </c>
      <c r="F752" s="13" t="n">
        <v>4</v>
      </c>
      <c r="G752" s="13" t="n">
        <v>3</v>
      </c>
      <c r="H752" s="18" t="n">
        <f aca="false">N(G752)-N(F752)</f>
        <v>-1</v>
      </c>
      <c r="I752" s="13" t="n">
        <v>4</v>
      </c>
    </row>
    <row r="753" customFormat="false" ht="15" hidden="false" customHeight="false" outlineLevel="0" collapsed="false">
      <c r="B753" s="12" t="s">
        <v>43</v>
      </c>
      <c r="C753" s="12" t="s">
        <v>263</v>
      </c>
      <c r="D753" s="17" t="s">
        <v>264</v>
      </c>
      <c r="E753" s="17" t="s">
        <v>68</v>
      </c>
      <c r="F753" s="13" t="n">
        <v>7</v>
      </c>
      <c r="G753" s="13" t="n">
        <v>9</v>
      </c>
      <c r="H753" s="18" t="n">
        <f aca="false">N(G753)-N(F753)</f>
        <v>2</v>
      </c>
      <c r="I753" s="13" t="n">
        <v>7</v>
      </c>
    </row>
    <row r="754" customFormat="false" ht="15" hidden="false" customHeight="false" outlineLevel="0" collapsed="false">
      <c r="B754" s="12" t="s">
        <v>43</v>
      </c>
      <c r="C754" s="12" t="s">
        <v>265</v>
      </c>
      <c r="D754" s="17" t="s">
        <v>266</v>
      </c>
      <c r="E754" s="17" t="s">
        <v>68</v>
      </c>
      <c r="F754" s="13" t="n">
        <v>6</v>
      </c>
      <c r="G754" s="13" t="n">
        <v>7</v>
      </c>
      <c r="H754" s="18" t="n">
        <f aca="false">N(G754)-N(F754)</f>
        <v>1</v>
      </c>
      <c r="I754" s="13" t="n">
        <v>6</v>
      </c>
    </row>
    <row r="755" customFormat="false" ht="15" hidden="false" customHeight="false" outlineLevel="0" collapsed="false">
      <c r="B755" s="12" t="s">
        <v>43</v>
      </c>
      <c r="C755" s="12" t="s">
        <v>668</v>
      </c>
      <c r="D755" s="17" t="s">
        <v>669</v>
      </c>
      <c r="E755" s="17"/>
      <c r="F755" s="13" t="n">
        <v>0</v>
      </c>
      <c r="G755" s="13" t="n">
        <v>8</v>
      </c>
      <c r="H755" s="18" t="n">
        <f aca="false">N(G755)-N(F755)</f>
        <v>8</v>
      </c>
      <c r="I755" s="13"/>
    </row>
    <row r="756" customFormat="false" ht="15" hidden="false" customHeight="false" outlineLevel="0" collapsed="false">
      <c r="B756" s="12" t="s">
        <v>43</v>
      </c>
      <c r="C756" s="12" t="s">
        <v>226</v>
      </c>
      <c r="D756" s="17" t="s">
        <v>227</v>
      </c>
      <c r="E756" s="17" t="s">
        <v>68</v>
      </c>
      <c r="F756" s="13" t="n">
        <v>5</v>
      </c>
      <c r="G756" s="13" t="n">
        <v>6</v>
      </c>
      <c r="H756" s="18" t="n">
        <f aca="false">N(G756)-N(F756)</f>
        <v>1</v>
      </c>
      <c r="I756" s="13" t="n">
        <v>6</v>
      </c>
    </row>
    <row r="757" customFormat="false" ht="15" hidden="false" customHeight="false" outlineLevel="0" collapsed="false">
      <c r="B757" s="12" t="s">
        <v>43</v>
      </c>
      <c r="C757" s="12" t="s">
        <v>280</v>
      </c>
      <c r="D757" s="17" t="s">
        <v>227</v>
      </c>
      <c r="E757" s="17" t="s">
        <v>68</v>
      </c>
      <c r="F757" s="13" t="n">
        <v>3</v>
      </c>
      <c r="G757" s="13" t="n">
        <v>3</v>
      </c>
      <c r="H757" s="18" t="n">
        <f aca="false">N(G757)-N(F757)</f>
        <v>0</v>
      </c>
      <c r="I757" s="13" t="n">
        <v>3</v>
      </c>
    </row>
    <row r="758" customFormat="false" ht="15" hidden="false" customHeight="false" outlineLevel="0" collapsed="false">
      <c r="B758" s="12" t="s">
        <v>44</v>
      </c>
      <c r="C758" s="12" t="s">
        <v>66</v>
      </c>
      <c r="D758" s="17" t="s">
        <v>67</v>
      </c>
      <c r="E758" s="17"/>
      <c r="F758" s="13" t="n">
        <v>7</v>
      </c>
      <c r="G758" s="13" t="n">
        <v>5</v>
      </c>
      <c r="H758" s="18" t="n">
        <f aca="false">N(G758)-N(F758)</f>
        <v>-2</v>
      </c>
      <c r="I758" s="13"/>
    </row>
    <row r="759" customFormat="false" ht="15" hidden="false" customHeight="false" outlineLevel="0" collapsed="false">
      <c r="B759" s="12" t="s">
        <v>44</v>
      </c>
      <c r="C759" s="12" t="s">
        <v>187</v>
      </c>
      <c r="D759" s="17" t="s">
        <v>188</v>
      </c>
      <c r="E759" s="17"/>
      <c r="F759" s="13" t="n">
        <v>0</v>
      </c>
      <c r="G759" s="13" t="n">
        <v>2</v>
      </c>
      <c r="H759" s="18" t="n">
        <f aca="false">N(G759)-N(F759)</f>
        <v>2</v>
      </c>
      <c r="I759" s="13"/>
    </row>
    <row r="760" customFormat="false" ht="15" hidden="false" customHeight="false" outlineLevel="0" collapsed="false">
      <c r="B760" s="12" t="s">
        <v>44</v>
      </c>
      <c r="C760" s="12" t="s">
        <v>383</v>
      </c>
      <c r="D760" s="17" t="s">
        <v>384</v>
      </c>
      <c r="E760" s="17" t="s">
        <v>68</v>
      </c>
      <c r="F760" s="13" t="n">
        <v>0</v>
      </c>
      <c r="G760" s="13" t="n">
        <v>5</v>
      </c>
      <c r="H760" s="18" t="n">
        <f aca="false">N(G760)-N(F760)</f>
        <v>5</v>
      </c>
      <c r="I760" s="13" t="n">
        <v>4</v>
      </c>
    </row>
    <row r="761" customFormat="false" ht="15" hidden="false" customHeight="false" outlineLevel="0" collapsed="false">
      <c r="B761" s="12" t="s">
        <v>44</v>
      </c>
      <c r="C761" s="12" t="s">
        <v>484</v>
      </c>
      <c r="D761" s="17" t="s">
        <v>485</v>
      </c>
      <c r="E761" s="17"/>
      <c r="F761" s="13" t="n">
        <v>0</v>
      </c>
      <c r="G761" s="13" t="n">
        <v>4</v>
      </c>
      <c r="H761" s="18" t="n">
        <f aca="false">N(G761)-N(F761)</f>
        <v>4</v>
      </c>
      <c r="I761" s="13"/>
    </row>
    <row r="762" customFormat="false" ht="15" hidden="false" customHeight="false" outlineLevel="0" collapsed="false">
      <c r="B762" s="12" t="s">
        <v>44</v>
      </c>
      <c r="C762" s="12" t="s">
        <v>410</v>
      </c>
      <c r="D762" s="17" t="s">
        <v>411</v>
      </c>
      <c r="E762" s="17"/>
      <c r="F762" s="13" t="n">
        <v>0</v>
      </c>
      <c r="G762" s="13" t="n">
        <v>2</v>
      </c>
      <c r="H762" s="18" t="n">
        <f aca="false">N(G762)-N(F762)</f>
        <v>2</v>
      </c>
      <c r="I762" s="13"/>
    </row>
    <row r="763" customFormat="false" ht="15" hidden="false" customHeight="false" outlineLevel="0" collapsed="false">
      <c r="B763" s="12" t="s">
        <v>44</v>
      </c>
      <c r="C763" s="12" t="s">
        <v>228</v>
      </c>
      <c r="D763" s="17" t="s">
        <v>229</v>
      </c>
      <c r="E763" s="17" t="s">
        <v>68</v>
      </c>
      <c r="F763" s="13" t="n">
        <v>10</v>
      </c>
      <c r="G763" s="13" t="n">
        <v>2</v>
      </c>
      <c r="H763" s="18" t="n">
        <f aca="false">N(G763)-N(F763)</f>
        <v>-8</v>
      </c>
      <c r="I763" s="13" t="n">
        <v>10</v>
      </c>
    </row>
    <row r="764" customFormat="false" ht="15" hidden="false" customHeight="false" outlineLevel="0" collapsed="false">
      <c r="B764" s="12" t="s">
        <v>44</v>
      </c>
      <c r="C764" s="12" t="s">
        <v>268</v>
      </c>
      <c r="D764" s="17" t="s">
        <v>269</v>
      </c>
      <c r="E764" s="17"/>
      <c r="F764" s="13" t="n">
        <v>0</v>
      </c>
      <c r="G764" s="13" t="n">
        <v>1</v>
      </c>
      <c r="H764" s="18" t="n">
        <f aca="false">N(G764)-N(F764)</f>
        <v>1</v>
      </c>
      <c r="I764" s="13"/>
    </row>
    <row r="765" customFormat="false" ht="15" hidden="false" customHeight="false" outlineLevel="0" collapsed="false">
      <c r="B765" s="12" t="s">
        <v>44</v>
      </c>
      <c r="C765" s="12" t="s">
        <v>271</v>
      </c>
      <c r="D765" s="17" t="s">
        <v>272</v>
      </c>
      <c r="E765" s="17"/>
      <c r="F765" s="13" t="n">
        <v>0</v>
      </c>
      <c r="G765" s="13" t="n">
        <v>11</v>
      </c>
      <c r="H765" s="18" t="n">
        <f aca="false">N(G765)-N(F765)</f>
        <v>11</v>
      </c>
      <c r="I765" s="13"/>
    </row>
    <row r="766" customFormat="false" ht="15" hidden="false" customHeight="false" outlineLevel="0" collapsed="false">
      <c r="B766" s="12" t="s">
        <v>44</v>
      </c>
      <c r="C766" s="12" t="s">
        <v>282</v>
      </c>
      <c r="D766" s="17" t="s">
        <v>283</v>
      </c>
      <c r="E766" s="17"/>
      <c r="F766" s="13" t="n">
        <v>0</v>
      </c>
      <c r="G766" s="13" t="n">
        <v>3</v>
      </c>
      <c r="H766" s="18" t="n">
        <f aca="false">N(G766)-N(F766)</f>
        <v>3</v>
      </c>
      <c r="I766" s="13"/>
    </row>
    <row r="767" customFormat="false" ht="15" hidden="false" customHeight="false" outlineLevel="0" collapsed="false">
      <c r="B767" s="12" t="s">
        <v>44</v>
      </c>
      <c r="C767" s="12" t="s">
        <v>555</v>
      </c>
      <c r="D767" s="17" t="s">
        <v>556</v>
      </c>
      <c r="E767" s="17"/>
      <c r="F767" s="13" t="n">
        <v>0</v>
      </c>
      <c r="G767" s="13" t="n">
        <v>3</v>
      </c>
      <c r="H767" s="18" t="n">
        <f aca="false">N(G767)-N(F767)</f>
        <v>3</v>
      </c>
      <c r="I767" s="13"/>
    </row>
    <row r="768" customFormat="false" ht="15" hidden="false" customHeight="false" outlineLevel="0" collapsed="false">
      <c r="B768" s="12" t="s">
        <v>44</v>
      </c>
      <c r="C768" s="12" t="s">
        <v>129</v>
      </c>
      <c r="D768" s="17" t="s">
        <v>130</v>
      </c>
      <c r="E768" s="17"/>
      <c r="F768" s="13" t="n">
        <v>10</v>
      </c>
      <c r="G768" s="13" t="n">
        <v>8</v>
      </c>
      <c r="H768" s="18" t="n">
        <f aca="false">N(G768)-N(F768)</f>
        <v>-2</v>
      </c>
      <c r="I768" s="13"/>
    </row>
    <row r="769" customFormat="false" ht="15" hidden="false" customHeight="false" outlineLevel="0" collapsed="false">
      <c r="B769" s="12" t="s">
        <v>44</v>
      </c>
      <c r="C769" s="12" t="s">
        <v>274</v>
      </c>
      <c r="D769" s="17" t="s">
        <v>275</v>
      </c>
      <c r="E769" s="17" t="s">
        <v>68</v>
      </c>
      <c r="F769" s="13" t="n">
        <v>0</v>
      </c>
      <c r="G769" s="13" t="n">
        <v>0</v>
      </c>
      <c r="H769" s="18" t="n">
        <f aca="false">N(G769)-N(F769)</f>
        <v>0</v>
      </c>
      <c r="I769" s="13" t="n">
        <v>50</v>
      </c>
    </row>
    <row r="770" customFormat="false" ht="15" hidden="false" customHeight="false" outlineLevel="0" collapsed="false">
      <c r="B770" s="12" t="s">
        <v>44</v>
      </c>
      <c r="C770" s="12" t="s">
        <v>231</v>
      </c>
      <c r="D770" s="17" t="s">
        <v>232</v>
      </c>
      <c r="E770" s="17"/>
      <c r="F770" s="13" t="n">
        <v>0</v>
      </c>
      <c r="G770" s="13" t="n">
        <v>3</v>
      </c>
      <c r="H770" s="18" t="n">
        <f aca="false">N(G770)-N(F770)</f>
        <v>3</v>
      </c>
      <c r="I770" s="13"/>
    </row>
    <row r="771" customFormat="false" ht="15" hidden="false" customHeight="false" outlineLevel="0" collapsed="false">
      <c r="B771" s="12" t="s">
        <v>44</v>
      </c>
      <c r="C771" s="12" t="s">
        <v>490</v>
      </c>
      <c r="D771" s="17" t="s">
        <v>491</v>
      </c>
      <c r="E771" s="17"/>
      <c r="F771" s="13" t="n">
        <v>0</v>
      </c>
      <c r="G771" s="13" t="n">
        <v>1</v>
      </c>
      <c r="H771" s="18" t="n">
        <f aca="false">N(G771)-N(F771)</f>
        <v>1</v>
      </c>
      <c r="I771" s="13"/>
    </row>
    <row r="772" customFormat="false" ht="15" hidden="false" customHeight="false" outlineLevel="0" collapsed="false">
      <c r="B772" s="12" t="s">
        <v>44</v>
      </c>
      <c r="C772" s="12" t="s">
        <v>285</v>
      </c>
      <c r="D772" s="17" t="s">
        <v>286</v>
      </c>
      <c r="E772" s="17"/>
      <c r="F772" s="13" t="n">
        <v>9</v>
      </c>
      <c r="G772" s="13" t="n">
        <v>6</v>
      </c>
      <c r="H772" s="18" t="n">
        <f aca="false">N(G772)-N(F772)</f>
        <v>-3</v>
      </c>
      <c r="I772" s="13"/>
    </row>
    <row r="773" customFormat="false" ht="15" hidden="false" customHeight="false" outlineLevel="0" collapsed="false">
      <c r="B773" s="12" t="s">
        <v>44</v>
      </c>
      <c r="C773" s="12" t="s">
        <v>234</v>
      </c>
      <c r="D773" s="17" t="s">
        <v>235</v>
      </c>
      <c r="E773" s="17"/>
      <c r="F773" s="13" t="n">
        <v>0</v>
      </c>
      <c r="G773" s="13" t="n">
        <v>1</v>
      </c>
      <c r="H773" s="18" t="n">
        <f aca="false">N(G773)-N(F773)</f>
        <v>1</v>
      </c>
      <c r="I773" s="13"/>
    </row>
    <row r="774" customFormat="false" ht="15" hidden="false" customHeight="false" outlineLevel="0" collapsed="false">
      <c r="B774" s="12" t="s">
        <v>44</v>
      </c>
      <c r="C774" s="12" t="s">
        <v>443</v>
      </c>
      <c r="D774" s="17" t="s">
        <v>444</v>
      </c>
      <c r="E774" s="17"/>
      <c r="F774" s="13" t="n">
        <v>0</v>
      </c>
      <c r="G774" s="13" t="n">
        <v>1</v>
      </c>
      <c r="H774" s="18" t="n">
        <f aca="false">N(G774)-N(F774)</f>
        <v>1</v>
      </c>
      <c r="I774" s="13"/>
    </row>
    <row r="775" customFormat="false" ht="15" hidden="false" customHeight="false" outlineLevel="0" collapsed="false">
      <c r="B775" s="12" t="s">
        <v>44</v>
      </c>
      <c r="C775" s="12" t="s">
        <v>70</v>
      </c>
      <c r="D775" s="17" t="s">
        <v>71</v>
      </c>
      <c r="E775" s="17" t="s">
        <v>68</v>
      </c>
      <c r="F775" s="13" t="n">
        <v>190</v>
      </c>
      <c r="G775" s="13" t="n">
        <v>104</v>
      </c>
      <c r="H775" s="18" t="n">
        <f aca="false">N(G775)-N(F775)</f>
        <v>-86</v>
      </c>
      <c r="I775" s="13" t="n">
        <v>190</v>
      </c>
    </row>
    <row r="776" customFormat="false" ht="15" hidden="false" customHeight="false" outlineLevel="0" collapsed="false">
      <c r="B776" s="12" t="s">
        <v>44</v>
      </c>
      <c r="C776" s="12" t="s">
        <v>72</v>
      </c>
      <c r="D776" s="17" t="s">
        <v>73</v>
      </c>
      <c r="E776" s="17"/>
      <c r="F776" s="13" t="n">
        <v>20</v>
      </c>
      <c r="G776" s="13" t="n">
        <v>20</v>
      </c>
      <c r="H776" s="18" t="n">
        <f aca="false">N(G776)-N(F776)</f>
        <v>0</v>
      </c>
      <c r="I776" s="13"/>
    </row>
    <row r="777" customFormat="false" ht="15" hidden="false" customHeight="false" outlineLevel="0" collapsed="false">
      <c r="B777" s="12" t="s">
        <v>44</v>
      </c>
      <c r="C777" s="12" t="s">
        <v>74</v>
      </c>
      <c r="D777" s="17" t="s">
        <v>75</v>
      </c>
      <c r="E777" s="17" t="s">
        <v>68</v>
      </c>
      <c r="F777" s="13" t="n">
        <v>10</v>
      </c>
      <c r="G777" s="13" t="n">
        <v>10</v>
      </c>
      <c r="H777" s="18" t="n">
        <f aca="false">N(G777)-N(F777)</f>
        <v>0</v>
      </c>
      <c r="I777" s="13" t="n">
        <v>10</v>
      </c>
    </row>
    <row r="778" customFormat="false" ht="15" hidden="false" customHeight="false" outlineLevel="0" collapsed="false">
      <c r="B778" s="12" t="s">
        <v>44</v>
      </c>
      <c r="C778" s="12" t="s">
        <v>164</v>
      </c>
      <c r="D778" s="17" t="s">
        <v>165</v>
      </c>
      <c r="E778" s="17"/>
      <c r="F778" s="13" t="n">
        <v>0</v>
      </c>
      <c r="G778" s="13" t="n">
        <v>9</v>
      </c>
      <c r="H778" s="18" t="n">
        <f aca="false">N(G778)-N(F778)</f>
        <v>9</v>
      </c>
      <c r="I778" s="13"/>
    </row>
    <row r="779" customFormat="false" ht="15" hidden="false" customHeight="false" outlineLevel="0" collapsed="false">
      <c r="B779" s="12" t="s">
        <v>44</v>
      </c>
      <c r="C779" s="12" t="s">
        <v>167</v>
      </c>
      <c r="D779" s="17" t="s">
        <v>168</v>
      </c>
      <c r="E779" s="17" t="s">
        <v>68</v>
      </c>
      <c r="F779" s="13" t="n">
        <v>45</v>
      </c>
      <c r="G779" s="13" t="n">
        <v>0</v>
      </c>
      <c r="H779" s="18" t="n">
        <f aca="false">N(G779)-N(F779)</f>
        <v>-45</v>
      </c>
      <c r="I779" s="13" t="n">
        <v>45</v>
      </c>
    </row>
    <row r="780" customFormat="false" ht="15" hidden="false" customHeight="false" outlineLevel="0" collapsed="false">
      <c r="B780" s="12" t="s">
        <v>44</v>
      </c>
      <c r="C780" s="12" t="s">
        <v>76</v>
      </c>
      <c r="D780" s="17" t="s">
        <v>77</v>
      </c>
      <c r="E780" s="17" t="s">
        <v>68</v>
      </c>
      <c r="F780" s="13" t="n">
        <v>70</v>
      </c>
      <c r="G780" s="13" t="n">
        <v>70</v>
      </c>
      <c r="H780" s="18" t="n">
        <f aca="false">N(G780)-N(F780)</f>
        <v>0</v>
      </c>
      <c r="I780" s="13" t="n">
        <v>140</v>
      </c>
    </row>
    <row r="781" customFormat="false" ht="15" hidden="false" customHeight="false" outlineLevel="0" collapsed="false">
      <c r="B781" s="12" t="s">
        <v>44</v>
      </c>
      <c r="C781" s="12" t="s">
        <v>78</v>
      </c>
      <c r="D781" s="17" t="s">
        <v>79</v>
      </c>
      <c r="E781" s="17" t="s">
        <v>68</v>
      </c>
      <c r="F781" s="13" t="n">
        <v>86</v>
      </c>
      <c r="G781" s="13" t="n">
        <v>102</v>
      </c>
      <c r="H781" s="18" t="n">
        <f aca="false">N(G781)-N(F781)</f>
        <v>16</v>
      </c>
      <c r="I781" s="13" t="n">
        <v>86</v>
      </c>
    </row>
    <row r="782" customFormat="false" ht="15" hidden="false" customHeight="false" outlineLevel="0" collapsed="false">
      <c r="B782" s="12" t="s">
        <v>44</v>
      </c>
      <c r="C782" s="12" t="s">
        <v>288</v>
      </c>
      <c r="D782" s="17" t="s">
        <v>289</v>
      </c>
      <c r="E782" s="17" t="s">
        <v>68</v>
      </c>
      <c r="F782" s="13" t="n">
        <v>8</v>
      </c>
      <c r="G782" s="13" t="n">
        <v>0</v>
      </c>
      <c r="H782" s="18" t="n">
        <f aca="false">N(G782)-N(F782)</f>
        <v>-8</v>
      </c>
      <c r="I782" s="13" t="n">
        <v>8</v>
      </c>
    </row>
    <row r="783" customFormat="false" ht="15" hidden="false" customHeight="false" outlineLevel="0" collapsed="false">
      <c r="B783" s="12" t="s">
        <v>44</v>
      </c>
      <c r="C783" s="12" t="s">
        <v>389</v>
      </c>
      <c r="D783" s="17" t="s">
        <v>390</v>
      </c>
      <c r="E783" s="17" t="s">
        <v>68</v>
      </c>
      <c r="F783" s="13" t="n">
        <v>0</v>
      </c>
      <c r="G783" s="13" t="n">
        <v>3</v>
      </c>
      <c r="H783" s="18" t="n">
        <f aca="false">N(G783)-N(F783)</f>
        <v>3</v>
      </c>
      <c r="I783" s="13" t="n">
        <v>3</v>
      </c>
    </row>
    <row r="784" customFormat="false" ht="15" hidden="false" customHeight="false" outlineLevel="0" collapsed="false">
      <c r="B784" s="12" t="s">
        <v>44</v>
      </c>
      <c r="C784" s="12" t="s">
        <v>80</v>
      </c>
      <c r="D784" s="17" t="s">
        <v>81</v>
      </c>
      <c r="E784" s="17" t="s">
        <v>68</v>
      </c>
      <c r="F784" s="13" t="n">
        <v>215</v>
      </c>
      <c r="G784" s="13" t="n">
        <v>152</v>
      </c>
      <c r="H784" s="18" t="n">
        <f aca="false">N(G784)-N(F784)</f>
        <v>-63</v>
      </c>
      <c r="I784" s="13" t="n">
        <v>215</v>
      </c>
    </row>
    <row r="785" customFormat="false" ht="15" hidden="false" customHeight="false" outlineLevel="0" collapsed="false">
      <c r="B785" s="12" t="s">
        <v>44</v>
      </c>
      <c r="C785" s="12" t="s">
        <v>82</v>
      </c>
      <c r="D785" s="17" t="s">
        <v>83</v>
      </c>
      <c r="E785" s="17" t="s">
        <v>68</v>
      </c>
      <c r="F785" s="13" t="n">
        <v>22</v>
      </c>
      <c r="G785" s="13" t="n">
        <v>16</v>
      </c>
      <c r="H785" s="18" t="n">
        <f aca="false">N(G785)-N(F785)</f>
        <v>-6</v>
      </c>
      <c r="I785" s="13" t="n">
        <v>22</v>
      </c>
    </row>
    <row r="786" customFormat="false" ht="15" hidden="false" customHeight="false" outlineLevel="0" collapsed="false">
      <c r="B786" s="12" t="s">
        <v>44</v>
      </c>
      <c r="C786" s="12" t="s">
        <v>565</v>
      </c>
      <c r="D786" s="17" t="s">
        <v>566</v>
      </c>
      <c r="E786" s="17" t="s">
        <v>68</v>
      </c>
      <c r="F786" s="13" t="n">
        <v>3</v>
      </c>
      <c r="G786" s="13" t="n">
        <v>1</v>
      </c>
      <c r="H786" s="18" t="n">
        <f aca="false">N(G786)-N(F786)</f>
        <v>-2</v>
      </c>
      <c r="I786" s="13" t="n">
        <v>3</v>
      </c>
    </row>
    <row r="787" customFormat="false" ht="15" hidden="false" customHeight="false" outlineLevel="0" collapsed="false">
      <c r="B787" s="12" t="s">
        <v>44</v>
      </c>
      <c r="C787" s="12" t="s">
        <v>190</v>
      </c>
      <c r="D787" s="17" t="s">
        <v>191</v>
      </c>
      <c r="E787" s="17"/>
      <c r="F787" s="13" t="n">
        <v>0</v>
      </c>
      <c r="G787" s="13" t="n">
        <v>1</v>
      </c>
      <c r="H787" s="18" t="n">
        <f aca="false">N(G787)-N(F787)</f>
        <v>1</v>
      </c>
      <c r="I787" s="13"/>
    </row>
    <row r="788" customFormat="false" ht="15" hidden="false" customHeight="false" outlineLevel="0" collapsed="false">
      <c r="B788" s="12" t="s">
        <v>44</v>
      </c>
      <c r="C788" s="12" t="s">
        <v>291</v>
      </c>
      <c r="D788" s="17" t="s">
        <v>292</v>
      </c>
      <c r="E788" s="17"/>
      <c r="F788" s="13" t="n">
        <v>0</v>
      </c>
      <c r="G788" s="13" t="n">
        <v>0</v>
      </c>
      <c r="H788" s="18" t="n">
        <f aca="false">N(G788)-N(F788)</f>
        <v>0</v>
      </c>
      <c r="I788" s="13"/>
    </row>
    <row r="789" customFormat="false" ht="15" hidden="false" customHeight="false" outlineLevel="0" collapsed="false">
      <c r="B789" s="12" t="s">
        <v>44</v>
      </c>
      <c r="C789" s="12" t="s">
        <v>569</v>
      </c>
      <c r="D789" s="17" t="s">
        <v>570</v>
      </c>
      <c r="E789" s="17" t="s">
        <v>68</v>
      </c>
      <c r="F789" s="13" t="n">
        <v>6</v>
      </c>
      <c r="G789" s="13" t="n">
        <v>6</v>
      </c>
      <c r="H789" s="18" t="n">
        <f aca="false">N(G789)-N(F789)</f>
        <v>0</v>
      </c>
      <c r="I789" s="13" t="n">
        <v>6</v>
      </c>
    </row>
    <row r="790" customFormat="false" ht="15" hidden="false" customHeight="false" outlineLevel="0" collapsed="false">
      <c r="B790" s="12" t="s">
        <v>44</v>
      </c>
      <c r="C790" s="12" t="s">
        <v>237</v>
      </c>
      <c r="D790" s="17" t="s">
        <v>238</v>
      </c>
      <c r="E790" s="17" t="s">
        <v>68</v>
      </c>
      <c r="F790" s="13" t="n">
        <v>14</v>
      </c>
      <c r="G790" s="13" t="n">
        <v>5</v>
      </c>
      <c r="H790" s="18" t="n">
        <f aca="false">N(G790)-N(F790)</f>
        <v>-9</v>
      </c>
      <c r="I790" s="13" t="n">
        <v>14</v>
      </c>
    </row>
    <row r="791" customFormat="false" ht="15" hidden="false" customHeight="false" outlineLevel="0" collapsed="false">
      <c r="B791" s="12" t="s">
        <v>44</v>
      </c>
      <c r="C791" s="12" t="s">
        <v>84</v>
      </c>
      <c r="D791" s="17" t="s">
        <v>85</v>
      </c>
      <c r="E791" s="17" t="s">
        <v>68</v>
      </c>
      <c r="F791" s="13" t="n">
        <v>50</v>
      </c>
      <c r="G791" s="13" t="n">
        <v>5</v>
      </c>
      <c r="H791" s="18" t="n">
        <f aca="false">N(G791)-N(F791)</f>
        <v>-45</v>
      </c>
      <c r="I791" s="13" t="n">
        <v>50</v>
      </c>
    </row>
    <row r="792" customFormat="false" ht="15" hidden="false" customHeight="false" outlineLevel="0" collapsed="false">
      <c r="B792" s="12" t="s">
        <v>44</v>
      </c>
      <c r="C792" s="12" t="s">
        <v>193</v>
      </c>
      <c r="D792" s="17" t="s">
        <v>194</v>
      </c>
      <c r="E792" s="17" t="s">
        <v>68</v>
      </c>
      <c r="F792" s="13" t="n">
        <v>5</v>
      </c>
      <c r="G792" s="13" t="n">
        <v>1</v>
      </c>
      <c r="H792" s="18" t="n">
        <f aca="false">N(G792)-N(F792)</f>
        <v>-4</v>
      </c>
      <c r="I792" s="13" t="n">
        <v>5</v>
      </c>
    </row>
    <row r="793" customFormat="false" ht="15" hidden="false" customHeight="false" outlineLevel="0" collapsed="false">
      <c r="B793" s="12" t="s">
        <v>44</v>
      </c>
      <c r="C793" s="12" t="s">
        <v>86</v>
      </c>
      <c r="D793" s="17" t="s">
        <v>87</v>
      </c>
      <c r="E793" s="17" t="s">
        <v>68</v>
      </c>
      <c r="F793" s="13" t="n">
        <v>16</v>
      </c>
      <c r="G793" s="13" t="n">
        <v>39</v>
      </c>
      <c r="H793" s="18" t="n">
        <f aca="false">N(G793)-N(F793)</f>
        <v>23</v>
      </c>
      <c r="I793" s="13" t="n">
        <v>16</v>
      </c>
    </row>
    <row r="794" customFormat="false" ht="15" hidden="false" customHeight="false" outlineLevel="0" collapsed="false">
      <c r="B794" s="12" t="s">
        <v>44</v>
      </c>
      <c r="C794" s="12" t="s">
        <v>132</v>
      </c>
      <c r="D794" s="17" t="s">
        <v>133</v>
      </c>
      <c r="E794" s="17" t="s">
        <v>68</v>
      </c>
      <c r="F794" s="13" t="n">
        <v>26</v>
      </c>
      <c r="G794" s="13" t="n">
        <v>21</v>
      </c>
      <c r="H794" s="18" t="n">
        <f aca="false">N(G794)-N(F794)</f>
        <v>-5</v>
      </c>
      <c r="I794" s="13" t="n">
        <v>26</v>
      </c>
    </row>
    <row r="795" customFormat="false" ht="15" hidden="false" customHeight="false" outlineLevel="0" collapsed="false">
      <c r="B795" s="12" t="s">
        <v>44</v>
      </c>
      <c r="C795" s="12" t="s">
        <v>294</v>
      </c>
      <c r="D795" s="17" t="s">
        <v>295</v>
      </c>
      <c r="E795" s="17"/>
      <c r="F795" s="13" t="n">
        <v>0</v>
      </c>
      <c r="G795" s="13" t="n">
        <v>3</v>
      </c>
      <c r="H795" s="18" t="n">
        <f aca="false">N(G795)-N(F795)</f>
        <v>3</v>
      </c>
      <c r="I795" s="13"/>
    </row>
    <row r="796" customFormat="false" ht="15" hidden="false" customHeight="false" outlineLevel="0" collapsed="false">
      <c r="B796" s="12" t="s">
        <v>44</v>
      </c>
      <c r="C796" s="12" t="s">
        <v>196</v>
      </c>
      <c r="D796" s="17" t="s">
        <v>197</v>
      </c>
      <c r="E796" s="17" t="s">
        <v>68</v>
      </c>
      <c r="F796" s="13" t="n">
        <v>1</v>
      </c>
      <c r="G796" s="13" t="n">
        <v>1</v>
      </c>
      <c r="H796" s="18" t="n">
        <f aca="false">N(G796)-N(F796)</f>
        <v>0</v>
      </c>
      <c r="I796" s="13" t="n">
        <v>1</v>
      </c>
    </row>
    <row r="797" customFormat="false" ht="15" hidden="false" customHeight="false" outlineLevel="0" collapsed="false">
      <c r="B797" s="12" t="s">
        <v>44</v>
      </c>
      <c r="C797" s="12" t="s">
        <v>110</v>
      </c>
      <c r="D797" s="17" t="s">
        <v>111</v>
      </c>
      <c r="E797" s="17" t="s">
        <v>68</v>
      </c>
      <c r="F797" s="13" t="n">
        <v>10</v>
      </c>
      <c r="G797" s="13" t="n">
        <v>45</v>
      </c>
      <c r="H797" s="18" t="n">
        <f aca="false">N(G797)-N(F797)</f>
        <v>35</v>
      </c>
      <c r="I797" s="13" t="n">
        <v>10</v>
      </c>
    </row>
    <row r="798" customFormat="false" ht="15" hidden="false" customHeight="false" outlineLevel="0" collapsed="false">
      <c r="B798" s="12" t="s">
        <v>44</v>
      </c>
      <c r="C798" s="12" t="s">
        <v>422</v>
      </c>
      <c r="D798" s="17" t="s">
        <v>423</v>
      </c>
      <c r="E798" s="17"/>
      <c r="F798" s="13" t="n">
        <v>0</v>
      </c>
      <c r="G798" s="13" t="n">
        <v>2</v>
      </c>
      <c r="H798" s="18" t="n">
        <f aca="false">N(G798)-N(F798)</f>
        <v>2</v>
      </c>
      <c r="I798" s="13"/>
    </row>
    <row r="799" customFormat="false" ht="15" hidden="false" customHeight="false" outlineLevel="0" collapsed="false">
      <c r="B799" s="12" t="s">
        <v>44</v>
      </c>
      <c r="C799" s="12" t="s">
        <v>135</v>
      </c>
      <c r="D799" s="17" t="s">
        <v>136</v>
      </c>
      <c r="E799" s="17" t="s">
        <v>94</v>
      </c>
      <c r="F799" s="13" t="n">
        <v>2850</v>
      </c>
      <c r="G799" s="13" t="n">
        <v>2524</v>
      </c>
      <c r="H799" s="18" t="n">
        <f aca="false">N(G799)-N(F799)</f>
        <v>-326</v>
      </c>
      <c r="I799" s="13" t="n">
        <v>2976.1762</v>
      </c>
    </row>
    <row r="800" customFormat="false" ht="15" hidden="false" customHeight="false" outlineLevel="0" collapsed="false">
      <c r="B800" s="12" t="s">
        <v>44</v>
      </c>
      <c r="C800" s="12" t="s">
        <v>319</v>
      </c>
      <c r="D800" s="17" t="s">
        <v>320</v>
      </c>
      <c r="E800" s="17"/>
      <c r="F800" s="13" t="n">
        <v>0</v>
      </c>
      <c r="G800" s="13" t="n">
        <v>3</v>
      </c>
      <c r="H800" s="18" t="n">
        <f aca="false">N(G800)-N(F800)</f>
        <v>3</v>
      </c>
      <c r="I800" s="13"/>
    </row>
    <row r="801" customFormat="false" ht="15" hidden="false" customHeight="false" outlineLevel="0" collapsed="false">
      <c r="B801" s="12" t="s">
        <v>44</v>
      </c>
      <c r="C801" s="12" t="s">
        <v>297</v>
      </c>
      <c r="D801" s="17" t="s">
        <v>298</v>
      </c>
      <c r="E801" s="17" t="s">
        <v>68</v>
      </c>
      <c r="F801" s="13" t="n">
        <v>2</v>
      </c>
      <c r="G801" s="13" t="n">
        <v>3</v>
      </c>
      <c r="H801" s="18" t="n">
        <f aca="false">N(G801)-N(F801)</f>
        <v>1</v>
      </c>
      <c r="I801" s="13" t="n">
        <v>2</v>
      </c>
    </row>
    <row r="802" customFormat="false" ht="15" hidden="false" customHeight="false" outlineLevel="0" collapsed="false">
      <c r="B802" s="12" t="s">
        <v>44</v>
      </c>
      <c r="C802" s="12" t="s">
        <v>510</v>
      </c>
      <c r="D802" s="17" t="s">
        <v>511</v>
      </c>
      <c r="E802" s="17" t="s">
        <v>68</v>
      </c>
      <c r="F802" s="13" t="n">
        <v>5</v>
      </c>
      <c r="G802" s="13" t="n">
        <v>0</v>
      </c>
      <c r="H802" s="18" t="n">
        <f aca="false">N(G802)-N(F802)</f>
        <v>-5</v>
      </c>
      <c r="I802" s="13" t="n">
        <v>5</v>
      </c>
    </row>
    <row r="803" customFormat="false" ht="15" hidden="false" customHeight="false" outlineLevel="0" collapsed="false">
      <c r="B803" s="12" t="s">
        <v>44</v>
      </c>
      <c r="C803" s="12" t="s">
        <v>579</v>
      </c>
      <c r="D803" s="17" t="s">
        <v>580</v>
      </c>
      <c r="E803" s="17"/>
      <c r="F803" s="13" t="n">
        <v>0</v>
      </c>
      <c r="G803" s="13" t="n">
        <v>1</v>
      </c>
      <c r="H803" s="18" t="n">
        <f aca="false">N(G803)-N(F803)</f>
        <v>1</v>
      </c>
      <c r="I803" s="13"/>
    </row>
    <row r="804" customFormat="false" ht="15" hidden="false" customHeight="false" outlineLevel="0" collapsed="false">
      <c r="B804" s="12" t="s">
        <v>44</v>
      </c>
      <c r="C804" s="12" t="s">
        <v>170</v>
      </c>
      <c r="D804" s="17" t="s">
        <v>171</v>
      </c>
      <c r="E804" s="17"/>
      <c r="F804" s="13" t="n">
        <v>25</v>
      </c>
      <c r="G804" s="13" t="n">
        <v>8</v>
      </c>
      <c r="H804" s="18" t="n">
        <f aca="false">N(G804)-N(F804)</f>
        <v>-17</v>
      </c>
      <c r="I804" s="13"/>
    </row>
    <row r="805" customFormat="false" ht="15" hidden="false" customHeight="false" outlineLevel="0" collapsed="false">
      <c r="B805" s="12" t="s">
        <v>44</v>
      </c>
      <c r="C805" s="12" t="s">
        <v>198</v>
      </c>
      <c r="D805" s="17" t="s">
        <v>199</v>
      </c>
      <c r="E805" s="17"/>
      <c r="F805" s="13" t="n">
        <v>0</v>
      </c>
      <c r="G805" s="13" t="n">
        <v>4</v>
      </c>
      <c r="H805" s="18" t="n">
        <f aca="false">N(G805)-N(F805)</f>
        <v>4</v>
      </c>
      <c r="I805" s="13"/>
    </row>
    <row r="806" customFormat="false" ht="15" hidden="false" customHeight="false" outlineLevel="0" collapsed="false">
      <c r="B806" s="12" t="s">
        <v>44</v>
      </c>
      <c r="C806" s="12" t="s">
        <v>88</v>
      </c>
      <c r="D806" s="17" t="s">
        <v>89</v>
      </c>
      <c r="E806" s="17" t="s">
        <v>68</v>
      </c>
      <c r="F806" s="13" t="n">
        <v>70</v>
      </c>
      <c r="G806" s="13" t="n">
        <v>54</v>
      </c>
      <c r="H806" s="18" t="n">
        <f aca="false">N(G806)-N(F806)</f>
        <v>-16</v>
      </c>
      <c r="I806" s="13" t="n">
        <v>70</v>
      </c>
    </row>
    <row r="807" customFormat="false" ht="15" hidden="false" customHeight="false" outlineLevel="0" collapsed="false">
      <c r="B807" s="12" t="s">
        <v>44</v>
      </c>
      <c r="C807" s="12" t="s">
        <v>90</v>
      </c>
      <c r="D807" s="17" t="s">
        <v>91</v>
      </c>
      <c r="E807" s="17" t="s">
        <v>68</v>
      </c>
      <c r="F807" s="13" t="n">
        <v>30</v>
      </c>
      <c r="G807" s="13" t="n">
        <v>3</v>
      </c>
      <c r="H807" s="18" t="n">
        <f aca="false">N(G807)-N(F807)</f>
        <v>-27</v>
      </c>
      <c r="I807" s="13" t="n">
        <v>30</v>
      </c>
    </row>
    <row r="808" customFormat="false" ht="15" hidden="false" customHeight="false" outlineLevel="0" collapsed="false">
      <c r="B808" s="12" t="s">
        <v>44</v>
      </c>
      <c r="C808" s="12" t="s">
        <v>322</v>
      </c>
      <c r="D808" s="17" t="s">
        <v>323</v>
      </c>
      <c r="E808" s="17"/>
      <c r="F808" s="13" t="n">
        <v>0</v>
      </c>
      <c r="G808" s="13" t="n">
        <v>2</v>
      </c>
      <c r="H808" s="18" t="n">
        <f aca="false">N(G808)-N(F808)</f>
        <v>2</v>
      </c>
      <c r="I808" s="13"/>
    </row>
    <row r="809" customFormat="false" ht="15" hidden="false" customHeight="false" outlineLevel="0" collapsed="false">
      <c r="B809" s="12" t="s">
        <v>44</v>
      </c>
      <c r="C809" s="12" t="s">
        <v>92</v>
      </c>
      <c r="D809" s="17" t="s">
        <v>93</v>
      </c>
      <c r="E809" s="17" t="s">
        <v>94</v>
      </c>
      <c r="F809" s="13" t="n">
        <v>0</v>
      </c>
      <c r="G809" s="13" t="n">
        <v>325</v>
      </c>
      <c r="H809" s="18" t="n">
        <f aca="false">N(G809)-N(F809)</f>
        <v>325</v>
      </c>
      <c r="I809" s="13" t="n">
        <v>170.8169</v>
      </c>
    </row>
    <row r="810" customFormat="false" ht="15" hidden="false" customHeight="false" outlineLevel="0" collapsed="false">
      <c r="B810" s="12" t="s">
        <v>44</v>
      </c>
      <c r="C810" s="12" t="s">
        <v>300</v>
      </c>
      <c r="D810" s="17" t="s">
        <v>301</v>
      </c>
      <c r="E810" s="17"/>
      <c r="F810" s="13" t="n">
        <v>0</v>
      </c>
      <c r="G810" s="13" t="n">
        <v>6</v>
      </c>
      <c r="H810" s="18" t="n">
        <f aca="false">N(G810)-N(F810)</f>
        <v>6</v>
      </c>
      <c r="I810" s="13"/>
    </row>
    <row r="811" customFormat="false" ht="15" hidden="false" customHeight="false" outlineLevel="0" collapsed="false">
      <c r="B811" s="12" t="s">
        <v>44</v>
      </c>
      <c r="C811" s="12" t="s">
        <v>240</v>
      </c>
      <c r="D811" s="17" t="s">
        <v>241</v>
      </c>
      <c r="E811" s="17" t="s">
        <v>94</v>
      </c>
      <c r="F811" s="13" t="n">
        <v>950</v>
      </c>
      <c r="G811" s="13" t="n">
        <v>50</v>
      </c>
      <c r="H811" s="18" t="n">
        <f aca="false">N(G811)-N(F811)</f>
        <v>-900</v>
      </c>
      <c r="I811" s="13" t="n">
        <v>1194.199</v>
      </c>
    </row>
    <row r="812" customFormat="false" ht="15" hidden="false" customHeight="false" outlineLevel="0" collapsed="false">
      <c r="B812" s="12" t="s">
        <v>44</v>
      </c>
      <c r="C812" s="12" t="s">
        <v>325</v>
      </c>
      <c r="D812" s="17" t="s">
        <v>326</v>
      </c>
      <c r="E812" s="17" t="s">
        <v>68</v>
      </c>
      <c r="F812" s="13" t="n">
        <v>10</v>
      </c>
      <c r="G812" s="13" t="n">
        <v>6</v>
      </c>
      <c r="H812" s="18" t="n">
        <f aca="false">N(G812)-N(F812)</f>
        <v>-4</v>
      </c>
      <c r="I812" s="13" t="n">
        <v>10</v>
      </c>
    </row>
    <row r="813" customFormat="false" ht="15" hidden="false" customHeight="false" outlineLevel="0" collapsed="false">
      <c r="B813" s="12" t="s">
        <v>44</v>
      </c>
      <c r="C813" s="12" t="s">
        <v>95</v>
      </c>
      <c r="D813" s="17" t="s">
        <v>96</v>
      </c>
      <c r="E813" s="17"/>
      <c r="F813" s="13" t="n">
        <v>10</v>
      </c>
      <c r="G813" s="13" t="n">
        <v>4</v>
      </c>
      <c r="H813" s="18" t="n">
        <f aca="false">N(G813)-N(F813)</f>
        <v>-6</v>
      </c>
      <c r="I813" s="13"/>
    </row>
    <row r="814" customFormat="false" ht="15" hidden="false" customHeight="false" outlineLevel="0" collapsed="false">
      <c r="B814" s="12" t="s">
        <v>44</v>
      </c>
      <c r="C814" s="12" t="s">
        <v>97</v>
      </c>
      <c r="D814" s="17" t="s">
        <v>98</v>
      </c>
      <c r="E814" s="17" t="s">
        <v>68</v>
      </c>
      <c r="F814" s="13" t="n">
        <v>70</v>
      </c>
      <c r="G814" s="13" t="n">
        <v>74</v>
      </c>
      <c r="H814" s="18" t="n">
        <f aca="false">N(G814)-N(F814)</f>
        <v>4</v>
      </c>
      <c r="I814" s="13" t="n">
        <v>70</v>
      </c>
    </row>
    <row r="815" customFormat="false" ht="15" hidden="false" customHeight="false" outlineLevel="0" collapsed="false">
      <c r="B815" s="12" t="s">
        <v>44</v>
      </c>
      <c r="C815" s="12" t="s">
        <v>398</v>
      </c>
      <c r="D815" s="17" t="s">
        <v>399</v>
      </c>
      <c r="E815" s="17"/>
      <c r="F815" s="13" t="n">
        <v>0</v>
      </c>
      <c r="G815" s="13" t="n">
        <v>6</v>
      </c>
      <c r="H815" s="18" t="n">
        <f aca="false">N(G815)-N(F815)</f>
        <v>6</v>
      </c>
      <c r="I815" s="13"/>
    </row>
    <row r="816" customFormat="false" ht="15" hidden="false" customHeight="false" outlineLevel="0" collapsed="false">
      <c r="B816" s="12" t="s">
        <v>44</v>
      </c>
      <c r="C816" s="12" t="s">
        <v>454</v>
      </c>
      <c r="D816" s="17" t="s">
        <v>455</v>
      </c>
      <c r="E816" s="17"/>
      <c r="F816" s="13" t="n">
        <v>0</v>
      </c>
      <c r="G816" s="13" t="n">
        <v>6</v>
      </c>
      <c r="H816" s="18" t="n">
        <f aca="false">N(G816)-N(F816)</f>
        <v>6</v>
      </c>
      <c r="I816" s="13"/>
    </row>
    <row r="817" customFormat="false" ht="15" hidden="false" customHeight="false" outlineLevel="0" collapsed="false">
      <c r="B817" s="12" t="s">
        <v>44</v>
      </c>
      <c r="C817" s="12" t="s">
        <v>201</v>
      </c>
      <c r="D817" s="17" t="s">
        <v>202</v>
      </c>
      <c r="E817" s="17"/>
      <c r="F817" s="13" t="n">
        <v>0</v>
      </c>
      <c r="G817" s="13" t="n">
        <v>2</v>
      </c>
      <c r="H817" s="18" t="n">
        <f aca="false">N(G817)-N(F817)</f>
        <v>2</v>
      </c>
      <c r="I817" s="13"/>
    </row>
    <row r="818" customFormat="false" ht="15" hidden="false" customHeight="false" outlineLevel="0" collapsed="false">
      <c r="B818" s="12" t="s">
        <v>44</v>
      </c>
      <c r="C818" s="12" t="s">
        <v>138</v>
      </c>
      <c r="D818" s="17" t="s">
        <v>139</v>
      </c>
      <c r="E818" s="17" t="s">
        <v>68</v>
      </c>
      <c r="F818" s="13" t="n">
        <v>5</v>
      </c>
      <c r="G818" s="13" t="n">
        <v>1</v>
      </c>
      <c r="H818" s="18" t="n">
        <f aca="false">N(G818)-N(F818)</f>
        <v>-4</v>
      </c>
      <c r="I818" s="13" t="n">
        <v>5</v>
      </c>
    </row>
    <row r="819" customFormat="false" ht="15" hidden="false" customHeight="false" outlineLevel="0" collapsed="false">
      <c r="B819" s="12" t="s">
        <v>44</v>
      </c>
      <c r="C819" s="12" t="s">
        <v>302</v>
      </c>
      <c r="D819" s="17" t="s">
        <v>133</v>
      </c>
      <c r="E819" s="17"/>
      <c r="F819" s="13" t="n">
        <v>9</v>
      </c>
      <c r="G819" s="13" t="n">
        <v>9</v>
      </c>
      <c r="H819" s="18" t="n">
        <f aca="false">N(G819)-N(F819)</f>
        <v>0</v>
      </c>
      <c r="I819" s="13"/>
    </row>
    <row r="820" customFormat="false" ht="15" hidden="false" customHeight="false" outlineLevel="0" collapsed="false">
      <c r="B820" s="12" t="s">
        <v>44</v>
      </c>
      <c r="C820" s="12" t="s">
        <v>242</v>
      </c>
      <c r="D820" s="17" t="s">
        <v>243</v>
      </c>
      <c r="E820" s="17"/>
      <c r="F820" s="13" t="n">
        <v>0</v>
      </c>
      <c r="G820" s="13" t="n">
        <v>5</v>
      </c>
      <c r="H820" s="18" t="n">
        <f aca="false">N(G820)-N(F820)</f>
        <v>5</v>
      </c>
      <c r="I820" s="13"/>
    </row>
    <row r="821" customFormat="false" ht="15" hidden="false" customHeight="false" outlineLevel="0" collapsed="false">
      <c r="B821" s="12" t="s">
        <v>44</v>
      </c>
      <c r="C821" s="12" t="s">
        <v>113</v>
      </c>
      <c r="D821" s="17" t="s">
        <v>114</v>
      </c>
      <c r="E821" s="17" t="s">
        <v>68</v>
      </c>
      <c r="F821" s="13" t="n">
        <v>60</v>
      </c>
      <c r="G821" s="13" t="n">
        <v>38</v>
      </c>
      <c r="H821" s="18" t="n">
        <f aca="false">N(G821)-N(F821)</f>
        <v>-22</v>
      </c>
      <c r="I821" s="13" t="n">
        <v>30</v>
      </c>
    </row>
    <row r="822" customFormat="false" ht="15" hidden="false" customHeight="false" outlineLevel="0" collapsed="false">
      <c r="B822" s="12" t="s">
        <v>44</v>
      </c>
      <c r="C822" s="12" t="s">
        <v>520</v>
      </c>
      <c r="D822" s="17" t="s">
        <v>521</v>
      </c>
      <c r="E822" s="17"/>
      <c r="F822" s="13" t="n">
        <v>0</v>
      </c>
      <c r="G822" s="13" t="n">
        <v>2</v>
      </c>
      <c r="H822" s="18" t="n">
        <f aca="false">N(G822)-N(F822)</f>
        <v>2</v>
      </c>
      <c r="I822" s="13"/>
    </row>
    <row r="823" customFormat="false" ht="15" hidden="false" customHeight="false" outlineLevel="0" collapsed="false">
      <c r="B823" s="12" t="s">
        <v>44</v>
      </c>
      <c r="C823" s="12" t="s">
        <v>115</v>
      </c>
      <c r="D823" s="17" t="s">
        <v>116</v>
      </c>
      <c r="E823" s="17" t="s">
        <v>68</v>
      </c>
      <c r="F823" s="13" t="n">
        <v>30</v>
      </c>
      <c r="G823" s="13" t="n">
        <v>0</v>
      </c>
      <c r="H823" s="18" t="n">
        <f aca="false">N(G823)-N(F823)</f>
        <v>-30</v>
      </c>
      <c r="I823" s="13" t="n">
        <v>30</v>
      </c>
    </row>
    <row r="824" customFormat="false" ht="15" hidden="false" customHeight="false" outlineLevel="0" collapsed="false">
      <c r="B824" s="12" t="s">
        <v>44</v>
      </c>
      <c r="C824" s="12" t="s">
        <v>401</v>
      </c>
      <c r="D824" s="17" t="s">
        <v>402</v>
      </c>
      <c r="E824" s="17" t="s">
        <v>68</v>
      </c>
      <c r="F824" s="13" t="n">
        <v>0</v>
      </c>
      <c r="G824" s="13" t="n">
        <v>4</v>
      </c>
      <c r="H824" s="18" t="n">
        <f aca="false">N(G824)-N(F824)</f>
        <v>4</v>
      </c>
      <c r="I824" s="13" t="n">
        <v>7</v>
      </c>
    </row>
    <row r="825" customFormat="false" ht="15" hidden="false" customHeight="false" outlineLevel="0" collapsed="false">
      <c r="B825" s="12" t="s">
        <v>44</v>
      </c>
      <c r="C825" s="12" t="s">
        <v>118</v>
      </c>
      <c r="D825" s="17" t="s">
        <v>119</v>
      </c>
      <c r="E825" s="17" t="s">
        <v>68</v>
      </c>
      <c r="F825" s="13" t="n">
        <v>45</v>
      </c>
      <c r="G825" s="13" t="n">
        <v>20</v>
      </c>
      <c r="H825" s="18" t="n">
        <f aca="false">N(G825)-N(F825)</f>
        <v>-25</v>
      </c>
      <c r="I825" s="13" t="n">
        <v>45</v>
      </c>
    </row>
    <row r="826" customFormat="false" ht="15" hidden="false" customHeight="false" outlineLevel="0" collapsed="false">
      <c r="B826" s="12" t="s">
        <v>44</v>
      </c>
      <c r="C826" s="12" t="s">
        <v>204</v>
      </c>
      <c r="D826" s="17" t="s">
        <v>205</v>
      </c>
      <c r="E826" s="17" t="s">
        <v>68</v>
      </c>
      <c r="F826" s="13" t="n">
        <v>3</v>
      </c>
      <c r="G826" s="13" t="n">
        <v>3</v>
      </c>
      <c r="H826" s="18" t="n">
        <f aca="false">N(G826)-N(F826)</f>
        <v>0</v>
      </c>
      <c r="I826" s="13" t="n">
        <v>3</v>
      </c>
    </row>
    <row r="827" customFormat="false" ht="15" hidden="false" customHeight="false" outlineLevel="0" collapsed="false">
      <c r="B827" s="12" t="s">
        <v>44</v>
      </c>
      <c r="C827" s="12" t="s">
        <v>99</v>
      </c>
      <c r="D827" s="17" t="s">
        <v>100</v>
      </c>
      <c r="E827" s="17" t="s">
        <v>68</v>
      </c>
      <c r="F827" s="13" t="n">
        <v>50</v>
      </c>
      <c r="G827" s="13" t="n">
        <v>39</v>
      </c>
      <c r="H827" s="18" t="n">
        <f aca="false">N(G827)-N(F827)</f>
        <v>-11</v>
      </c>
      <c r="I827" s="13" t="n">
        <v>50</v>
      </c>
    </row>
    <row r="828" customFormat="false" ht="15" hidden="false" customHeight="false" outlineLevel="0" collapsed="false">
      <c r="B828" s="12" t="s">
        <v>44</v>
      </c>
      <c r="C828" s="12" t="s">
        <v>603</v>
      </c>
      <c r="D828" s="17" t="s">
        <v>604</v>
      </c>
      <c r="E828" s="17"/>
      <c r="F828" s="13" t="n">
        <v>0</v>
      </c>
      <c r="G828" s="13" t="n">
        <v>1</v>
      </c>
      <c r="H828" s="18" t="n">
        <f aca="false">N(G828)-N(F828)</f>
        <v>1</v>
      </c>
      <c r="I828" s="13"/>
    </row>
    <row r="829" customFormat="false" ht="15" hidden="false" customHeight="false" outlineLevel="0" collapsed="false">
      <c r="B829" s="12" t="s">
        <v>44</v>
      </c>
      <c r="C829" s="12" t="s">
        <v>173</v>
      </c>
      <c r="D829" s="17" t="s">
        <v>174</v>
      </c>
      <c r="E829" s="17" t="s">
        <v>68</v>
      </c>
      <c r="F829" s="13" t="n">
        <v>5</v>
      </c>
      <c r="G829" s="13" t="n">
        <v>8</v>
      </c>
      <c r="H829" s="18" t="n">
        <f aca="false">N(G829)-N(F829)</f>
        <v>3</v>
      </c>
      <c r="I829" s="13" t="n">
        <v>5</v>
      </c>
    </row>
    <row r="830" customFormat="false" ht="15" hidden="false" customHeight="false" outlineLevel="0" collapsed="false">
      <c r="B830" s="12" t="s">
        <v>44</v>
      </c>
      <c r="C830" s="12" t="s">
        <v>336</v>
      </c>
      <c r="D830" s="17" t="s">
        <v>337</v>
      </c>
      <c r="E830" s="17"/>
      <c r="F830" s="13" t="n">
        <v>0</v>
      </c>
      <c r="G830" s="13" t="n">
        <v>10</v>
      </c>
      <c r="H830" s="18" t="n">
        <f aca="false">N(G830)-N(F830)</f>
        <v>10</v>
      </c>
      <c r="I830" s="13"/>
    </row>
    <row r="831" customFormat="false" ht="15" hidden="false" customHeight="false" outlineLevel="0" collapsed="false">
      <c r="B831" s="12" t="s">
        <v>44</v>
      </c>
      <c r="C831" s="12" t="s">
        <v>338</v>
      </c>
      <c r="D831" s="17" t="s">
        <v>339</v>
      </c>
      <c r="E831" s="17" t="s">
        <v>68</v>
      </c>
      <c r="F831" s="13" t="n">
        <v>10</v>
      </c>
      <c r="G831" s="13" t="n">
        <v>5</v>
      </c>
      <c r="H831" s="18" t="n">
        <f aca="false">N(G831)-N(F831)</f>
        <v>-5</v>
      </c>
      <c r="I831" s="13" t="n">
        <v>18</v>
      </c>
    </row>
    <row r="832" customFormat="false" ht="15" hidden="false" customHeight="false" outlineLevel="0" collapsed="false">
      <c r="B832" s="12" t="s">
        <v>44</v>
      </c>
      <c r="C832" s="12" t="s">
        <v>101</v>
      </c>
      <c r="D832" s="17" t="s">
        <v>102</v>
      </c>
      <c r="E832" s="17" t="s">
        <v>68</v>
      </c>
      <c r="F832" s="13" t="n">
        <v>0</v>
      </c>
      <c r="G832" s="13" t="n">
        <v>15</v>
      </c>
      <c r="H832" s="18" t="n">
        <f aca="false">N(G832)-N(F832)</f>
        <v>15</v>
      </c>
      <c r="I832" s="13" t="n">
        <v>20</v>
      </c>
    </row>
    <row r="833" customFormat="false" ht="15" hidden="false" customHeight="false" outlineLevel="0" collapsed="false">
      <c r="B833" s="12" t="s">
        <v>44</v>
      </c>
      <c r="C833" s="12" t="s">
        <v>463</v>
      </c>
      <c r="D833" s="17" t="s">
        <v>464</v>
      </c>
      <c r="E833" s="17"/>
      <c r="F833" s="13" t="n">
        <v>0</v>
      </c>
      <c r="G833" s="13" t="n">
        <v>2</v>
      </c>
      <c r="H833" s="18" t="n">
        <f aca="false">N(G833)-N(F833)</f>
        <v>2</v>
      </c>
      <c r="I833" s="13"/>
    </row>
    <row r="834" customFormat="false" ht="15" hidden="false" customHeight="false" outlineLevel="0" collapsed="false">
      <c r="B834" s="12" t="s">
        <v>44</v>
      </c>
      <c r="C834" s="12" t="s">
        <v>121</v>
      </c>
      <c r="D834" s="17" t="s">
        <v>122</v>
      </c>
      <c r="E834" s="17" t="s">
        <v>68</v>
      </c>
      <c r="F834" s="13" t="n">
        <v>21</v>
      </c>
      <c r="G834" s="13" t="n">
        <v>26</v>
      </c>
      <c r="H834" s="18" t="n">
        <f aca="false">N(G834)-N(F834)</f>
        <v>5</v>
      </c>
      <c r="I834" s="13" t="n">
        <v>21</v>
      </c>
    </row>
    <row r="835" customFormat="false" ht="15" hidden="false" customHeight="false" outlineLevel="0" collapsed="false">
      <c r="B835" s="12" t="s">
        <v>44</v>
      </c>
      <c r="C835" s="12" t="s">
        <v>524</v>
      </c>
      <c r="D835" s="17" t="s">
        <v>525</v>
      </c>
      <c r="E835" s="17" t="s">
        <v>68</v>
      </c>
      <c r="F835" s="13" t="n">
        <v>5</v>
      </c>
      <c r="G835" s="13" t="n">
        <v>0</v>
      </c>
      <c r="H835" s="18" t="n">
        <f aca="false">N(G835)-N(F835)</f>
        <v>-5</v>
      </c>
      <c r="I835" s="13" t="n">
        <v>5</v>
      </c>
    </row>
    <row r="836" customFormat="false" ht="15" hidden="false" customHeight="false" outlineLevel="0" collapsed="false">
      <c r="B836" s="12" t="s">
        <v>44</v>
      </c>
      <c r="C836" s="12" t="s">
        <v>245</v>
      </c>
      <c r="D836" s="17" t="s">
        <v>246</v>
      </c>
      <c r="E836" s="17" t="s">
        <v>68</v>
      </c>
      <c r="F836" s="13" t="n">
        <v>25</v>
      </c>
      <c r="G836" s="13" t="n">
        <v>0</v>
      </c>
      <c r="H836" s="18" t="n">
        <f aca="false">N(G836)-N(F836)</f>
        <v>-25</v>
      </c>
      <c r="I836" s="13" t="n">
        <v>25</v>
      </c>
    </row>
    <row r="837" customFormat="false" ht="15" hidden="false" customHeight="false" outlineLevel="0" collapsed="false">
      <c r="B837" s="12" t="s">
        <v>44</v>
      </c>
      <c r="C837" s="12" t="s">
        <v>141</v>
      </c>
      <c r="D837" s="17" t="s">
        <v>142</v>
      </c>
      <c r="E837" s="17"/>
      <c r="F837" s="13" t="n">
        <v>0</v>
      </c>
      <c r="G837" s="13" t="n">
        <v>3</v>
      </c>
      <c r="H837" s="18" t="n">
        <f aca="false">N(G837)-N(F837)</f>
        <v>3</v>
      </c>
      <c r="I837" s="13"/>
    </row>
    <row r="838" customFormat="false" ht="15" hidden="false" customHeight="false" outlineLevel="0" collapsed="false">
      <c r="B838" s="12" t="s">
        <v>44</v>
      </c>
      <c r="C838" s="12" t="s">
        <v>207</v>
      </c>
      <c r="D838" s="17" t="s">
        <v>208</v>
      </c>
      <c r="E838" s="17" t="s">
        <v>68</v>
      </c>
      <c r="F838" s="13" t="n">
        <v>30</v>
      </c>
      <c r="G838" s="13" t="n">
        <v>22</v>
      </c>
      <c r="H838" s="18" t="n">
        <f aca="false">N(G838)-N(F838)</f>
        <v>-8</v>
      </c>
      <c r="I838" s="13" t="n">
        <v>30</v>
      </c>
    </row>
    <row r="839" customFormat="false" ht="15" hidden="false" customHeight="false" outlineLevel="0" collapsed="false">
      <c r="B839" s="12" t="s">
        <v>44</v>
      </c>
      <c r="C839" s="12" t="s">
        <v>248</v>
      </c>
      <c r="D839" s="17" t="s">
        <v>133</v>
      </c>
      <c r="E839" s="17" t="s">
        <v>68</v>
      </c>
      <c r="F839" s="13" t="n">
        <v>6</v>
      </c>
      <c r="G839" s="13" t="n">
        <v>14</v>
      </c>
      <c r="H839" s="18" t="n">
        <f aca="false">N(G839)-N(F839)</f>
        <v>8</v>
      </c>
      <c r="I839" s="13" t="n">
        <v>6</v>
      </c>
    </row>
    <row r="840" customFormat="false" ht="15" hidden="false" customHeight="false" outlineLevel="0" collapsed="false">
      <c r="B840" s="12" t="s">
        <v>44</v>
      </c>
      <c r="C840" s="12" t="s">
        <v>210</v>
      </c>
      <c r="D840" s="17" t="s">
        <v>211</v>
      </c>
      <c r="E840" s="17" t="s">
        <v>68</v>
      </c>
      <c r="F840" s="13" t="n">
        <v>5</v>
      </c>
      <c r="G840" s="13" t="n">
        <v>4</v>
      </c>
      <c r="H840" s="18" t="n">
        <f aca="false">N(G840)-N(F840)</f>
        <v>-1</v>
      </c>
      <c r="I840" s="13" t="n">
        <v>5</v>
      </c>
    </row>
    <row r="841" customFormat="false" ht="15" hidden="false" customHeight="false" outlineLevel="0" collapsed="false">
      <c r="B841" s="12" t="s">
        <v>44</v>
      </c>
      <c r="C841" s="12" t="s">
        <v>176</v>
      </c>
      <c r="D841" s="17" t="s">
        <v>177</v>
      </c>
      <c r="E841" s="17" t="s">
        <v>68</v>
      </c>
      <c r="F841" s="13" t="n">
        <v>10</v>
      </c>
      <c r="G841" s="13" t="n">
        <v>7</v>
      </c>
      <c r="H841" s="18" t="n">
        <f aca="false">N(G841)-N(F841)</f>
        <v>-3</v>
      </c>
      <c r="I841" s="13" t="n">
        <v>10</v>
      </c>
    </row>
    <row r="842" customFormat="false" ht="15" hidden="false" customHeight="false" outlineLevel="0" collapsed="false">
      <c r="B842" s="12" t="s">
        <v>44</v>
      </c>
      <c r="C842" s="12" t="s">
        <v>212</v>
      </c>
      <c r="D842" s="17" t="s">
        <v>213</v>
      </c>
      <c r="E842" s="17"/>
      <c r="F842" s="13" t="n">
        <v>8</v>
      </c>
      <c r="G842" s="13" t="n">
        <v>4</v>
      </c>
      <c r="H842" s="18" t="n">
        <f aca="false">N(G842)-N(F842)</f>
        <v>-4</v>
      </c>
      <c r="I842" s="13"/>
    </row>
    <row r="843" customFormat="false" ht="15" hidden="false" customHeight="false" outlineLevel="0" collapsed="false">
      <c r="B843" s="12" t="s">
        <v>44</v>
      </c>
      <c r="C843" s="12" t="s">
        <v>340</v>
      </c>
      <c r="D843" s="17" t="s">
        <v>341</v>
      </c>
      <c r="E843" s="17"/>
      <c r="F843" s="13" t="n">
        <v>4</v>
      </c>
      <c r="G843" s="13" t="n">
        <v>5</v>
      </c>
      <c r="H843" s="18" t="n">
        <f aca="false">N(G843)-N(F843)</f>
        <v>1</v>
      </c>
      <c r="I843" s="13"/>
    </row>
    <row r="844" customFormat="false" ht="15" hidden="false" customHeight="false" outlineLevel="0" collapsed="false">
      <c r="B844" s="12" t="s">
        <v>44</v>
      </c>
      <c r="C844" s="12" t="s">
        <v>103</v>
      </c>
      <c r="D844" s="17" t="s">
        <v>104</v>
      </c>
      <c r="E844" s="17" t="s">
        <v>68</v>
      </c>
      <c r="F844" s="13" t="n">
        <v>365</v>
      </c>
      <c r="G844" s="13" t="n">
        <v>103</v>
      </c>
      <c r="H844" s="18" t="n">
        <f aca="false">N(G844)-N(F844)</f>
        <v>-262</v>
      </c>
      <c r="I844" s="13" t="n">
        <v>415</v>
      </c>
    </row>
    <row r="845" customFormat="false" ht="15" hidden="false" customHeight="false" outlineLevel="0" collapsed="false">
      <c r="B845" s="12" t="s">
        <v>44</v>
      </c>
      <c r="C845" s="12" t="s">
        <v>215</v>
      </c>
      <c r="D845" s="17" t="s">
        <v>216</v>
      </c>
      <c r="E845" s="17" t="s">
        <v>68</v>
      </c>
      <c r="F845" s="13" t="n">
        <v>0</v>
      </c>
      <c r="G845" s="13" t="n">
        <v>2</v>
      </c>
      <c r="H845" s="18" t="n">
        <f aca="false">N(G845)-N(F845)</f>
        <v>2</v>
      </c>
      <c r="I845" s="13" t="n">
        <v>2</v>
      </c>
    </row>
    <row r="846" customFormat="false" ht="15" hidden="false" customHeight="false" outlineLevel="0" collapsed="false">
      <c r="B846" s="12" t="s">
        <v>44</v>
      </c>
      <c r="C846" s="12" t="s">
        <v>469</v>
      </c>
      <c r="D846" s="17" t="s">
        <v>470</v>
      </c>
      <c r="E846" s="17"/>
      <c r="F846" s="13" t="n">
        <v>0</v>
      </c>
      <c r="G846" s="13" t="n">
        <v>6</v>
      </c>
      <c r="H846" s="18" t="n">
        <f aca="false">N(G846)-N(F846)</f>
        <v>6</v>
      </c>
      <c r="I846" s="13"/>
    </row>
    <row r="847" customFormat="false" ht="15" hidden="false" customHeight="false" outlineLevel="0" collapsed="false">
      <c r="B847" s="12" t="s">
        <v>44</v>
      </c>
      <c r="C847" s="12" t="s">
        <v>434</v>
      </c>
      <c r="D847" s="17" t="s">
        <v>435</v>
      </c>
      <c r="E847" s="17"/>
      <c r="F847" s="13" t="n">
        <v>0</v>
      </c>
      <c r="G847" s="13" t="n">
        <v>5</v>
      </c>
      <c r="H847" s="18" t="n">
        <f aca="false">N(G847)-N(F847)</f>
        <v>5</v>
      </c>
      <c r="I847" s="13"/>
    </row>
    <row r="848" customFormat="false" ht="15" hidden="false" customHeight="false" outlineLevel="0" collapsed="false">
      <c r="B848" s="12" t="s">
        <v>44</v>
      </c>
      <c r="C848" s="12" t="s">
        <v>179</v>
      </c>
      <c r="D848" s="17" t="s">
        <v>180</v>
      </c>
      <c r="E848" s="17" t="s">
        <v>68</v>
      </c>
      <c r="F848" s="13" t="n">
        <v>4</v>
      </c>
      <c r="G848" s="13" t="n">
        <v>2</v>
      </c>
      <c r="H848" s="18" t="n">
        <f aca="false">N(G848)-N(F848)</f>
        <v>-2</v>
      </c>
      <c r="I848" s="13" t="n">
        <v>4</v>
      </c>
    </row>
    <row r="849" customFormat="false" ht="15" hidden="false" customHeight="false" outlineLevel="0" collapsed="false">
      <c r="B849" s="12" t="s">
        <v>44</v>
      </c>
      <c r="C849" s="12" t="s">
        <v>143</v>
      </c>
      <c r="D849" s="17" t="s">
        <v>144</v>
      </c>
      <c r="E849" s="17" t="s">
        <v>68</v>
      </c>
      <c r="F849" s="13" t="n">
        <v>3</v>
      </c>
      <c r="G849" s="13" t="n">
        <v>2</v>
      </c>
      <c r="H849" s="18" t="n">
        <f aca="false">N(G849)-N(F849)</f>
        <v>-1</v>
      </c>
      <c r="I849" s="13" t="n">
        <v>3</v>
      </c>
    </row>
    <row r="850" customFormat="false" ht="15" hidden="false" customHeight="false" outlineLevel="0" collapsed="false">
      <c r="B850" s="12" t="s">
        <v>44</v>
      </c>
      <c r="C850" s="12" t="s">
        <v>146</v>
      </c>
      <c r="D850" s="17" t="s">
        <v>147</v>
      </c>
      <c r="E850" s="17" t="s">
        <v>68</v>
      </c>
      <c r="F850" s="13" t="n">
        <v>7</v>
      </c>
      <c r="G850" s="13" t="n">
        <v>8</v>
      </c>
      <c r="H850" s="18" t="n">
        <f aca="false">N(G850)-N(F850)</f>
        <v>1</v>
      </c>
      <c r="I850" s="13" t="n">
        <v>7</v>
      </c>
    </row>
    <row r="851" customFormat="false" ht="15" hidden="false" customHeight="false" outlineLevel="0" collapsed="false">
      <c r="B851" s="12" t="s">
        <v>44</v>
      </c>
      <c r="C851" s="12" t="s">
        <v>182</v>
      </c>
      <c r="D851" s="17" t="s">
        <v>183</v>
      </c>
      <c r="E851" s="17" t="s">
        <v>68</v>
      </c>
      <c r="F851" s="13" t="n">
        <v>16</v>
      </c>
      <c r="G851" s="13" t="n">
        <v>14</v>
      </c>
      <c r="H851" s="18" t="n">
        <f aca="false">N(G851)-N(F851)</f>
        <v>-2</v>
      </c>
      <c r="I851" s="13" t="n">
        <v>16</v>
      </c>
    </row>
    <row r="852" customFormat="false" ht="15" hidden="false" customHeight="false" outlineLevel="0" collapsed="false">
      <c r="B852" s="12" t="s">
        <v>44</v>
      </c>
      <c r="C852" s="12" t="s">
        <v>372</v>
      </c>
      <c r="D852" s="17" t="s">
        <v>373</v>
      </c>
      <c r="E852" s="17"/>
      <c r="F852" s="13" t="n">
        <v>0</v>
      </c>
      <c r="G852" s="13" t="n">
        <v>3</v>
      </c>
      <c r="H852" s="18" t="n">
        <f aca="false">N(G852)-N(F852)</f>
        <v>3</v>
      </c>
      <c r="I852" s="13"/>
    </row>
    <row r="853" customFormat="false" ht="15" hidden="false" customHeight="false" outlineLevel="0" collapsed="false">
      <c r="B853" s="12" t="s">
        <v>44</v>
      </c>
      <c r="C853" s="12" t="s">
        <v>250</v>
      </c>
      <c r="D853" s="17" t="s">
        <v>251</v>
      </c>
      <c r="E853" s="17"/>
      <c r="F853" s="13" t="n">
        <v>10</v>
      </c>
      <c r="G853" s="13" t="n">
        <v>8</v>
      </c>
      <c r="H853" s="18" t="n">
        <f aca="false">N(G853)-N(F853)</f>
        <v>-2</v>
      </c>
      <c r="I853" s="13"/>
    </row>
    <row r="854" customFormat="false" ht="15" hidden="false" customHeight="false" outlineLevel="0" collapsed="false">
      <c r="B854" s="12" t="s">
        <v>44</v>
      </c>
      <c r="C854" s="12" t="s">
        <v>148</v>
      </c>
      <c r="D854" s="17" t="s">
        <v>149</v>
      </c>
      <c r="E854" s="17" t="s">
        <v>68</v>
      </c>
      <c r="F854" s="13" t="n">
        <v>50</v>
      </c>
      <c r="G854" s="13" t="n">
        <v>40</v>
      </c>
      <c r="H854" s="18" t="n">
        <f aca="false">N(G854)-N(F854)</f>
        <v>-10</v>
      </c>
      <c r="I854" s="13" t="n">
        <v>50</v>
      </c>
    </row>
    <row r="855" customFormat="false" ht="15" hidden="false" customHeight="false" outlineLevel="0" collapsed="false">
      <c r="B855" s="12" t="s">
        <v>44</v>
      </c>
      <c r="C855" s="12" t="s">
        <v>619</v>
      </c>
      <c r="D855" s="17" t="s">
        <v>620</v>
      </c>
      <c r="E855" s="17"/>
      <c r="F855" s="13" t="n">
        <v>0</v>
      </c>
      <c r="G855" s="13" t="n">
        <v>3</v>
      </c>
      <c r="H855" s="18" t="n">
        <f aca="false">N(G855)-N(F855)</f>
        <v>3</v>
      </c>
      <c r="I855" s="13"/>
    </row>
    <row r="856" customFormat="false" ht="15" hidden="false" customHeight="false" outlineLevel="0" collapsed="false">
      <c r="B856" s="12" t="s">
        <v>44</v>
      </c>
      <c r="C856" s="12" t="s">
        <v>123</v>
      </c>
      <c r="D856" s="17" t="s">
        <v>124</v>
      </c>
      <c r="E856" s="17"/>
      <c r="F856" s="13" t="n">
        <v>500</v>
      </c>
      <c r="G856" s="13" t="n">
        <v>369</v>
      </c>
      <c r="H856" s="18" t="n">
        <f aca="false">N(G856)-N(F856)</f>
        <v>-131</v>
      </c>
      <c r="I856" s="13"/>
    </row>
    <row r="857" customFormat="false" ht="15" hidden="false" customHeight="false" outlineLevel="0" collapsed="false">
      <c r="B857" s="12" t="s">
        <v>44</v>
      </c>
      <c r="C857" s="12" t="s">
        <v>105</v>
      </c>
      <c r="D857" s="17" t="s">
        <v>106</v>
      </c>
      <c r="E857" s="17" t="s">
        <v>68</v>
      </c>
      <c r="F857" s="13" t="n">
        <v>10</v>
      </c>
      <c r="G857" s="13" t="n">
        <v>16</v>
      </c>
      <c r="H857" s="18" t="n">
        <f aca="false">N(G857)-N(F857)</f>
        <v>6</v>
      </c>
      <c r="I857" s="13" t="n">
        <v>10</v>
      </c>
    </row>
    <row r="858" customFormat="false" ht="15" hidden="false" customHeight="false" outlineLevel="0" collapsed="false">
      <c r="B858" s="12" t="s">
        <v>44</v>
      </c>
      <c r="C858" s="12" t="s">
        <v>107</v>
      </c>
      <c r="D858" s="17" t="s">
        <v>108</v>
      </c>
      <c r="E858" s="17"/>
      <c r="F858" s="13" t="n">
        <v>0</v>
      </c>
      <c r="G858" s="13" t="n">
        <v>5</v>
      </c>
      <c r="H858" s="18" t="n">
        <f aca="false">N(G858)-N(F858)</f>
        <v>5</v>
      </c>
      <c r="I858" s="13"/>
    </row>
    <row r="859" customFormat="false" ht="15" hidden="false" customHeight="false" outlineLevel="0" collapsed="false">
      <c r="B859" s="12" t="s">
        <v>44</v>
      </c>
      <c r="C859" s="12" t="s">
        <v>307</v>
      </c>
      <c r="D859" s="17" t="s">
        <v>308</v>
      </c>
      <c r="E859" s="17" t="s">
        <v>68</v>
      </c>
      <c r="F859" s="13" t="n">
        <v>0</v>
      </c>
      <c r="G859" s="13" t="n">
        <v>0</v>
      </c>
      <c r="H859" s="18" t="n">
        <f aca="false">N(G859)-N(F859)</f>
        <v>0</v>
      </c>
      <c r="I859" s="13" t="n">
        <v>1</v>
      </c>
    </row>
    <row r="860" customFormat="false" ht="15" hidden="false" customHeight="false" outlineLevel="0" collapsed="false">
      <c r="B860" s="12" t="s">
        <v>44</v>
      </c>
      <c r="C860" s="12" t="s">
        <v>310</v>
      </c>
      <c r="D860" s="17" t="s">
        <v>311</v>
      </c>
      <c r="E860" s="17" t="s">
        <v>68</v>
      </c>
      <c r="F860" s="13" t="n">
        <v>8</v>
      </c>
      <c r="G860" s="13" t="n">
        <v>0</v>
      </c>
      <c r="H860" s="18" t="n">
        <f aca="false">N(G860)-N(F860)</f>
        <v>-8</v>
      </c>
      <c r="I860" s="13" t="n">
        <v>8</v>
      </c>
    </row>
    <row r="861" customFormat="false" ht="15" hidden="false" customHeight="false" outlineLevel="0" collapsed="false">
      <c r="B861" s="12" t="s">
        <v>44</v>
      </c>
      <c r="C861" s="12" t="s">
        <v>375</v>
      </c>
      <c r="D861" s="17" t="s">
        <v>376</v>
      </c>
      <c r="E861" s="17" t="s">
        <v>68</v>
      </c>
      <c r="F861" s="13" t="n">
        <v>25</v>
      </c>
      <c r="G861" s="13" t="n">
        <v>0</v>
      </c>
      <c r="H861" s="18" t="n">
        <f aca="false">N(G861)-N(F861)</f>
        <v>-25</v>
      </c>
      <c r="I861" s="13" t="n">
        <v>25</v>
      </c>
    </row>
    <row r="862" customFormat="false" ht="15" hidden="false" customHeight="false" outlineLevel="0" collapsed="false">
      <c r="B862" s="12" t="s">
        <v>44</v>
      </c>
      <c r="C862" s="12" t="s">
        <v>354</v>
      </c>
      <c r="D862" s="17" t="s">
        <v>355</v>
      </c>
      <c r="E862" s="17"/>
      <c r="F862" s="13" t="n">
        <v>0</v>
      </c>
      <c r="G862" s="13" t="n">
        <v>1</v>
      </c>
      <c r="H862" s="18" t="n">
        <f aca="false">N(G862)-N(F862)</f>
        <v>1</v>
      </c>
      <c r="I862" s="13"/>
    </row>
    <row r="863" customFormat="false" ht="15" hidden="false" customHeight="false" outlineLevel="0" collapsed="false">
      <c r="B863" s="12" t="s">
        <v>44</v>
      </c>
      <c r="C863" s="12" t="s">
        <v>150</v>
      </c>
      <c r="D863" s="17" t="s">
        <v>151</v>
      </c>
      <c r="E863" s="17" t="s">
        <v>68</v>
      </c>
      <c r="F863" s="13" t="n">
        <v>25</v>
      </c>
      <c r="G863" s="13" t="n">
        <v>19</v>
      </c>
      <c r="H863" s="18" t="n">
        <f aca="false">N(G863)-N(F863)</f>
        <v>-6</v>
      </c>
      <c r="I863" s="13" t="n">
        <v>25</v>
      </c>
    </row>
    <row r="864" customFormat="false" ht="15" hidden="false" customHeight="false" outlineLevel="0" collapsed="false">
      <c r="B864" s="12" t="s">
        <v>44</v>
      </c>
      <c r="C864" s="12" t="s">
        <v>184</v>
      </c>
      <c r="D864" s="17" t="s">
        <v>185</v>
      </c>
      <c r="E864" s="17" t="s">
        <v>68</v>
      </c>
      <c r="F864" s="13" t="n">
        <v>8</v>
      </c>
      <c r="G864" s="13" t="n">
        <v>2</v>
      </c>
      <c r="H864" s="18" t="n">
        <f aca="false">N(G864)-N(F864)</f>
        <v>-6</v>
      </c>
      <c r="I864" s="13" t="n">
        <v>8</v>
      </c>
    </row>
    <row r="865" customFormat="false" ht="15" hidden="false" customHeight="false" outlineLevel="0" collapsed="false">
      <c r="B865" s="12" t="s">
        <v>44</v>
      </c>
      <c r="C865" s="12" t="s">
        <v>359</v>
      </c>
      <c r="D865" s="17" t="s">
        <v>360</v>
      </c>
      <c r="E865" s="17"/>
      <c r="F865" s="13" t="n">
        <v>0</v>
      </c>
      <c r="G865" s="13" t="n">
        <v>5</v>
      </c>
      <c r="H865" s="18" t="n">
        <f aca="false">N(G865)-N(F865)</f>
        <v>5</v>
      </c>
      <c r="I865" s="13"/>
    </row>
    <row r="866" customFormat="false" ht="15" hidden="false" customHeight="false" outlineLevel="0" collapsed="false">
      <c r="B866" s="12" t="s">
        <v>44</v>
      </c>
      <c r="C866" s="12" t="s">
        <v>152</v>
      </c>
      <c r="D866" s="17" t="s">
        <v>153</v>
      </c>
      <c r="E866" s="17"/>
      <c r="F866" s="13" t="n">
        <v>7</v>
      </c>
      <c r="G866" s="13" t="n">
        <v>34</v>
      </c>
      <c r="H866" s="18" t="n">
        <f aca="false">N(G866)-N(F866)</f>
        <v>27</v>
      </c>
      <c r="I866" s="13"/>
    </row>
    <row r="867" customFormat="false" ht="15" hidden="false" customHeight="false" outlineLevel="0" collapsed="false">
      <c r="B867" s="12" t="s">
        <v>44</v>
      </c>
      <c r="C867" s="12" t="s">
        <v>155</v>
      </c>
      <c r="D867" s="17" t="s">
        <v>156</v>
      </c>
      <c r="E867" s="17" t="s">
        <v>68</v>
      </c>
      <c r="F867" s="13" t="n">
        <v>2</v>
      </c>
      <c r="G867" s="13" t="n">
        <v>1</v>
      </c>
      <c r="H867" s="18" t="n">
        <f aca="false">N(G867)-N(F867)</f>
        <v>-1</v>
      </c>
      <c r="I867" s="13" t="n">
        <v>2</v>
      </c>
    </row>
    <row r="868" customFormat="false" ht="15" hidden="false" customHeight="false" outlineLevel="0" collapsed="false">
      <c r="B868" s="12" t="s">
        <v>44</v>
      </c>
      <c r="C868" s="12" t="s">
        <v>255</v>
      </c>
      <c r="D868" s="17" t="s">
        <v>256</v>
      </c>
      <c r="E868" s="17" t="s">
        <v>94</v>
      </c>
      <c r="F868" s="13" t="n">
        <v>2200</v>
      </c>
      <c r="G868" s="13" t="n">
        <v>1908</v>
      </c>
      <c r="H868" s="18" t="n">
        <f aca="false">N(G868)-N(F868)</f>
        <v>-292</v>
      </c>
      <c r="I868" s="13" t="n">
        <v>2208.6003</v>
      </c>
    </row>
    <row r="869" customFormat="false" ht="15" hidden="false" customHeight="false" outlineLevel="0" collapsed="false">
      <c r="B869" s="12" t="s">
        <v>44</v>
      </c>
      <c r="C869" s="12" t="s">
        <v>631</v>
      </c>
      <c r="D869" s="17" t="s">
        <v>632</v>
      </c>
      <c r="E869" s="17"/>
      <c r="F869" s="13" t="n">
        <v>0</v>
      </c>
      <c r="G869" s="13" t="n">
        <v>3</v>
      </c>
      <c r="H869" s="18" t="n">
        <f aca="false">N(G869)-N(F869)</f>
        <v>3</v>
      </c>
      <c r="I869" s="13"/>
    </row>
    <row r="870" customFormat="false" ht="15" hidden="false" customHeight="false" outlineLevel="0" collapsed="false">
      <c r="B870" s="12" t="s">
        <v>44</v>
      </c>
      <c r="C870" s="12" t="s">
        <v>361</v>
      </c>
      <c r="D870" s="17" t="s">
        <v>362</v>
      </c>
      <c r="E870" s="17"/>
      <c r="F870" s="13" t="n">
        <v>0</v>
      </c>
      <c r="G870" s="13" t="n">
        <v>1</v>
      </c>
      <c r="H870" s="18" t="n">
        <f aca="false">N(G870)-N(F870)</f>
        <v>1</v>
      </c>
      <c r="I870" s="13"/>
    </row>
    <row r="871" customFormat="false" ht="15" hidden="false" customHeight="false" outlineLevel="0" collapsed="false">
      <c r="B871" s="12" t="s">
        <v>44</v>
      </c>
      <c r="C871" s="12" t="s">
        <v>157</v>
      </c>
      <c r="D871" s="17" t="s">
        <v>158</v>
      </c>
      <c r="E871" s="17" t="s">
        <v>68</v>
      </c>
      <c r="F871" s="13" t="n">
        <v>43</v>
      </c>
      <c r="G871" s="13" t="n">
        <v>34</v>
      </c>
      <c r="H871" s="18" t="n">
        <f aca="false">N(G871)-N(F871)</f>
        <v>-9</v>
      </c>
      <c r="I871" s="13" t="n">
        <v>43</v>
      </c>
    </row>
    <row r="872" customFormat="false" ht="15" hidden="false" customHeight="false" outlineLevel="0" collapsed="false">
      <c r="B872" s="12" t="s">
        <v>44</v>
      </c>
      <c r="C872" s="12" t="s">
        <v>635</v>
      </c>
      <c r="D872" s="17" t="s">
        <v>636</v>
      </c>
      <c r="E872" s="17"/>
      <c r="F872" s="13" t="n">
        <v>0</v>
      </c>
      <c r="G872" s="13" t="n">
        <v>4</v>
      </c>
      <c r="H872" s="18" t="n">
        <f aca="false">N(G872)-N(F872)</f>
        <v>4</v>
      </c>
      <c r="I872" s="13"/>
    </row>
    <row r="873" customFormat="false" ht="15" hidden="false" customHeight="false" outlineLevel="0" collapsed="false">
      <c r="B873" s="12" t="s">
        <v>44</v>
      </c>
      <c r="C873" s="12" t="s">
        <v>218</v>
      </c>
      <c r="D873" s="17" t="s">
        <v>219</v>
      </c>
      <c r="E873" s="17" t="s">
        <v>68</v>
      </c>
      <c r="F873" s="13" t="n">
        <v>3</v>
      </c>
      <c r="G873" s="13" t="n">
        <v>0</v>
      </c>
      <c r="H873" s="18" t="n">
        <f aca="false">N(G873)-N(F873)</f>
        <v>-3</v>
      </c>
      <c r="I873" s="13" t="n">
        <v>3</v>
      </c>
    </row>
    <row r="874" customFormat="false" ht="15" hidden="false" customHeight="false" outlineLevel="0" collapsed="false">
      <c r="B874" s="12" t="s">
        <v>44</v>
      </c>
      <c r="C874" s="12" t="s">
        <v>221</v>
      </c>
      <c r="D874" s="17" t="s">
        <v>222</v>
      </c>
      <c r="E874" s="17" t="s">
        <v>68</v>
      </c>
      <c r="F874" s="13" t="n">
        <v>4</v>
      </c>
      <c r="G874" s="13" t="n">
        <v>3</v>
      </c>
      <c r="H874" s="18" t="n">
        <f aca="false">N(G874)-N(F874)</f>
        <v>-1</v>
      </c>
      <c r="I874" s="13" t="n">
        <v>4</v>
      </c>
    </row>
    <row r="875" customFormat="false" ht="15" hidden="false" customHeight="false" outlineLevel="0" collapsed="false">
      <c r="B875" s="12" t="s">
        <v>44</v>
      </c>
      <c r="C875" s="12" t="s">
        <v>159</v>
      </c>
      <c r="D875" s="17" t="s">
        <v>160</v>
      </c>
      <c r="E875" s="17" t="s">
        <v>68</v>
      </c>
      <c r="F875" s="13" t="n">
        <v>20</v>
      </c>
      <c r="G875" s="13" t="n">
        <v>7</v>
      </c>
      <c r="H875" s="18" t="n">
        <f aca="false">N(G875)-N(F875)</f>
        <v>-13</v>
      </c>
      <c r="I875" s="13" t="n">
        <v>40</v>
      </c>
    </row>
    <row r="876" customFormat="false" ht="15" hidden="false" customHeight="false" outlineLevel="0" collapsed="false">
      <c r="B876" s="12" t="s">
        <v>44</v>
      </c>
      <c r="C876" s="12" t="s">
        <v>312</v>
      </c>
      <c r="D876" s="17" t="s">
        <v>160</v>
      </c>
      <c r="E876" s="17" t="s">
        <v>68</v>
      </c>
      <c r="F876" s="13" t="n">
        <v>0</v>
      </c>
      <c r="G876" s="13" t="n">
        <v>0</v>
      </c>
      <c r="H876" s="18" t="n">
        <f aca="false">N(G876)-N(F876)</f>
        <v>0</v>
      </c>
      <c r="I876" s="13" t="n">
        <v>2</v>
      </c>
    </row>
    <row r="877" customFormat="false" ht="15" hidden="false" customHeight="false" outlineLevel="0" collapsed="false">
      <c r="B877" s="12" t="s">
        <v>44</v>
      </c>
      <c r="C877" s="12" t="s">
        <v>314</v>
      </c>
      <c r="D877" s="17" t="s">
        <v>160</v>
      </c>
      <c r="E877" s="17" t="s">
        <v>68</v>
      </c>
      <c r="F877" s="13" t="n">
        <v>0</v>
      </c>
      <c r="G877" s="13" t="n">
        <v>1</v>
      </c>
      <c r="H877" s="18" t="n">
        <f aca="false">N(G877)-N(F877)</f>
        <v>1</v>
      </c>
      <c r="I877" s="13" t="n">
        <v>6</v>
      </c>
    </row>
    <row r="878" customFormat="false" ht="15" hidden="false" customHeight="false" outlineLevel="0" collapsed="false">
      <c r="B878" s="12" t="s">
        <v>44</v>
      </c>
      <c r="C878" s="12" t="s">
        <v>440</v>
      </c>
      <c r="D878" s="17" t="s">
        <v>441</v>
      </c>
      <c r="E878" s="17"/>
      <c r="F878" s="13" t="n">
        <v>0</v>
      </c>
      <c r="G878" s="13" t="n">
        <v>1</v>
      </c>
      <c r="H878" s="18" t="n">
        <f aca="false">N(G878)-N(F878)</f>
        <v>1</v>
      </c>
      <c r="I878" s="13"/>
    </row>
    <row r="879" customFormat="false" ht="15" hidden="false" customHeight="false" outlineLevel="0" collapsed="false">
      <c r="B879" s="12" t="s">
        <v>44</v>
      </c>
      <c r="C879" s="12" t="s">
        <v>407</v>
      </c>
      <c r="D879" s="17" t="s">
        <v>408</v>
      </c>
      <c r="E879" s="17"/>
      <c r="F879" s="13" t="n">
        <v>0</v>
      </c>
      <c r="G879" s="13" t="n">
        <v>3</v>
      </c>
      <c r="H879" s="18" t="n">
        <f aca="false">N(G879)-N(F879)</f>
        <v>3</v>
      </c>
      <c r="I879" s="13"/>
    </row>
    <row r="880" customFormat="false" ht="15" hidden="false" customHeight="false" outlineLevel="0" collapsed="false">
      <c r="B880" s="12" t="s">
        <v>44</v>
      </c>
      <c r="C880" s="12" t="s">
        <v>125</v>
      </c>
      <c r="D880" s="17" t="s">
        <v>126</v>
      </c>
      <c r="E880" s="17" t="s">
        <v>68</v>
      </c>
      <c r="F880" s="13" t="n">
        <v>5</v>
      </c>
      <c r="G880" s="13" t="n">
        <v>3</v>
      </c>
      <c r="H880" s="18" t="n">
        <f aca="false">N(G880)-N(F880)</f>
        <v>-2</v>
      </c>
      <c r="I880" s="13" t="n">
        <v>5</v>
      </c>
    </row>
    <row r="881" customFormat="false" ht="15" hidden="false" customHeight="false" outlineLevel="0" collapsed="false">
      <c r="B881" s="12" t="s">
        <v>44</v>
      </c>
      <c r="C881" s="12" t="s">
        <v>127</v>
      </c>
      <c r="D881" s="17" t="s">
        <v>128</v>
      </c>
      <c r="E881" s="17" t="s">
        <v>68</v>
      </c>
      <c r="F881" s="13" t="n">
        <v>25</v>
      </c>
      <c r="G881" s="13" t="n">
        <v>10</v>
      </c>
      <c r="H881" s="18" t="n">
        <f aca="false">N(G881)-N(F881)</f>
        <v>-15</v>
      </c>
      <c r="I881" s="13" t="n">
        <v>25</v>
      </c>
    </row>
    <row r="882" customFormat="false" ht="15" hidden="false" customHeight="false" outlineLevel="0" collapsed="false">
      <c r="B882" s="12" t="s">
        <v>44</v>
      </c>
      <c r="C882" s="12" t="s">
        <v>258</v>
      </c>
      <c r="D882" s="17" t="s">
        <v>259</v>
      </c>
      <c r="E882" s="17" t="s">
        <v>68</v>
      </c>
      <c r="F882" s="13" t="n">
        <v>24</v>
      </c>
      <c r="G882" s="13" t="n">
        <v>24</v>
      </c>
      <c r="H882" s="18" t="n">
        <f aca="false">N(G882)-N(F882)</f>
        <v>0</v>
      </c>
      <c r="I882" s="13" t="n">
        <v>24</v>
      </c>
    </row>
    <row r="883" customFormat="false" ht="15" hidden="false" customHeight="false" outlineLevel="0" collapsed="false">
      <c r="B883" s="12" t="s">
        <v>44</v>
      </c>
      <c r="C883" s="12" t="s">
        <v>260</v>
      </c>
      <c r="D883" s="17" t="s">
        <v>261</v>
      </c>
      <c r="E883" s="17"/>
      <c r="F883" s="13" t="n">
        <v>12</v>
      </c>
      <c r="G883" s="13" t="n">
        <v>0</v>
      </c>
      <c r="H883" s="18" t="n">
        <f aca="false">N(G883)-N(F883)</f>
        <v>-12</v>
      </c>
      <c r="I883" s="13"/>
    </row>
    <row r="884" customFormat="false" ht="15" hidden="false" customHeight="false" outlineLevel="0" collapsed="false">
      <c r="B884" s="12" t="s">
        <v>44</v>
      </c>
      <c r="C884" s="12" t="s">
        <v>224</v>
      </c>
      <c r="D884" s="17" t="s">
        <v>225</v>
      </c>
      <c r="E884" s="17"/>
      <c r="F884" s="13" t="n">
        <v>17</v>
      </c>
      <c r="G884" s="13" t="n">
        <v>15</v>
      </c>
      <c r="H884" s="18" t="n">
        <f aca="false">N(G884)-N(F884)</f>
        <v>-2</v>
      </c>
      <c r="I884" s="13"/>
    </row>
    <row r="885" customFormat="false" ht="15" hidden="false" customHeight="false" outlineLevel="0" collapsed="false">
      <c r="B885" s="12" t="s">
        <v>44</v>
      </c>
      <c r="C885" s="12" t="s">
        <v>380</v>
      </c>
      <c r="D885" s="17" t="s">
        <v>381</v>
      </c>
      <c r="E885" s="17" t="s">
        <v>68</v>
      </c>
      <c r="F885" s="13" t="n">
        <v>10</v>
      </c>
      <c r="G885" s="13" t="n">
        <v>0</v>
      </c>
      <c r="H885" s="18" t="n">
        <f aca="false">N(G885)-N(F885)</f>
        <v>-10</v>
      </c>
      <c r="I885" s="13" t="n">
        <v>80</v>
      </c>
    </row>
    <row r="886" customFormat="false" ht="15" hidden="false" customHeight="false" outlineLevel="0" collapsed="false">
      <c r="B886" s="12" t="s">
        <v>44</v>
      </c>
      <c r="C886" s="12" t="s">
        <v>277</v>
      </c>
      <c r="D886" s="17" t="s">
        <v>278</v>
      </c>
      <c r="E886" s="17"/>
      <c r="F886" s="13" t="n">
        <v>10</v>
      </c>
      <c r="G886" s="13" t="n">
        <v>2</v>
      </c>
      <c r="H886" s="18" t="n">
        <f aca="false">N(G886)-N(F886)</f>
        <v>-8</v>
      </c>
      <c r="I886" s="13"/>
    </row>
    <row r="887" customFormat="false" ht="15" hidden="false" customHeight="false" outlineLevel="0" collapsed="false">
      <c r="B887" s="12" t="s">
        <v>44</v>
      </c>
      <c r="C887" s="12" t="s">
        <v>161</v>
      </c>
      <c r="D887" s="17" t="s">
        <v>162</v>
      </c>
      <c r="E887" s="17" t="s">
        <v>94</v>
      </c>
      <c r="F887" s="13" t="n">
        <v>0</v>
      </c>
      <c r="G887" s="13" t="n">
        <v>500</v>
      </c>
      <c r="H887" s="18" t="n">
        <f aca="false">N(G887)-N(F887)</f>
        <v>500</v>
      </c>
      <c r="I887" s="13" t="n">
        <v>212.766</v>
      </c>
    </row>
    <row r="888" customFormat="false" ht="15" hidden="false" customHeight="false" outlineLevel="0" collapsed="false">
      <c r="B888" s="12" t="s">
        <v>44</v>
      </c>
      <c r="C888" s="12" t="s">
        <v>265</v>
      </c>
      <c r="D888" s="17" t="s">
        <v>266</v>
      </c>
      <c r="E888" s="17" t="s">
        <v>68</v>
      </c>
      <c r="F888" s="13" t="n">
        <v>10</v>
      </c>
      <c r="G888" s="13" t="n">
        <v>11</v>
      </c>
      <c r="H888" s="18" t="n">
        <f aca="false">N(G888)-N(F888)</f>
        <v>1</v>
      </c>
      <c r="I888" s="13" t="n">
        <v>10</v>
      </c>
    </row>
    <row r="889" customFormat="false" ht="15" hidden="false" customHeight="false" outlineLevel="0" collapsed="false">
      <c r="B889" s="12" t="s">
        <v>44</v>
      </c>
      <c r="C889" s="12" t="s">
        <v>226</v>
      </c>
      <c r="D889" s="17" t="s">
        <v>227</v>
      </c>
      <c r="E889" s="17" t="s">
        <v>68</v>
      </c>
      <c r="F889" s="13" t="n">
        <v>0</v>
      </c>
      <c r="G889" s="13" t="n">
        <v>0</v>
      </c>
      <c r="H889" s="18" t="n">
        <f aca="false">N(G889)-N(F889)</f>
        <v>0</v>
      </c>
      <c r="I889" s="13" t="n">
        <v>1</v>
      </c>
    </row>
    <row r="890" customFormat="false" ht="15" hidden="false" customHeight="false" outlineLevel="0" collapsed="false">
      <c r="B890" s="12" t="s">
        <v>44</v>
      </c>
      <c r="C890" s="12" t="s">
        <v>280</v>
      </c>
      <c r="D890" s="17" t="s">
        <v>227</v>
      </c>
      <c r="E890" s="17" t="s">
        <v>68</v>
      </c>
      <c r="F890" s="13" t="n">
        <v>3</v>
      </c>
      <c r="G890" s="13" t="n">
        <v>3</v>
      </c>
      <c r="H890" s="18" t="n">
        <f aca="false">N(G890)-N(F890)</f>
        <v>0</v>
      </c>
      <c r="I890" s="13" t="n">
        <v>2</v>
      </c>
    </row>
    <row r="891" customFormat="false" ht="15" hidden="false" customHeight="false" outlineLevel="0" collapsed="false">
      <c r="B891" s="12" t="s">
        <v>44</v>
      </c>
      <c r="C891" s="12" t="s">
        <v>550</v>
      </c>
      <c r="D891" s="17" t="s">
        <v>227</v>
      </c>
      <c r="E891" s="17" t="s">
        <v>68</v>
      </c>
      <c r="F891" s="13" t="n">
        <v>1</v>
      </c>
      <c r="G891" s="13" t="n">
        <v>1</v>
      </c>
      <c r="H891" s="18" t="n">
        <f aca="false">N(G891)-N(F891)</f>
        <v>0</v>
      </c>
      <c r="I891" s="13" t="n">
        <v>1</v>
      </c>
    </row>
    <row r="892" customFormat="false" ht="15" hidden="false" customHeight="false" outlineLevel="0" collapsed="false">
      <c r="B892" s="12" t="s">
        <v>45</v>
      </c>
      <c r="C892" s="12" t="s">
        <v>66</v>
      </c>
      <c r="D892" s="17" t="s">
        <v>67</v>
      </c>
      <c r="E892" s="17"/>
      <c r="F892" s="13" t="n">
        <v>0</v>
      </c>
      <c r="G892" s="13" t="n">
        <v>13</v>
      </c>
      <c r="H892" s="18" t="n">
        <f aca="false">N(G892)-N(F892)</f>
        <v>13</v>
      </c>
      <c r="I892" s="13"/>
    </row>
    <row r="893" customFormat="false" ht="15" hidden="false" customHeight="false" outlineLevel="0" collapsed="false">
      <c r="B893" s="12" t="s">
        <v>45</v>
      </c>
      <c r="C893" s="12" t="s">
        <v>187</v>
      </c>
      <c r="D893" s="17" t="s">
        <v>188</v>
      </c>
      <c r="E893" s="17" t="s">
        <v>68</v>
      </c>
      <c r="F893" s="13" t="n">
        <v>13</v>
      </c>
      <c r="G893" s="13" t="n">
        <v>1</v>
      </c>
      <c r="H893" s="18" t="n">
        <f aca="false">N(G893)-N(F893)</f>
        <v>-12</v>
      </c>
      <c r="I893" s="13" t="n">
        <v>13</v>
      </c>
    </row>
    <row r="894" customFormat="false" ht="15" hidden="false" customHeight="false" outlineLevel="0" collapsed="false">
      <c r="B894" s="12" t="s">
        <v>45</v>
      </c>
      <c r="C894" s="12" t="s">
        <v>228</v>
      </c>
      <c r="D894" s="17" t="s">
        <v>229</v>
      </c>
      <c r="E894" s="17" t="s">
        <v>68</v>
      </c>
      <c r="F894" s="13" t="n">
        <v>20</v>
      </c>
      <c r="G894" s="13" t="n">
        <v>5</v>
      </c>
      <c r="H894" s="18" t="n">
        <f aca="false">N(G894)-N(F894)</f>
        <v>-15</v>
      </c>
      <c r="I894" s="13" t="n">
        <v>20</v>
      </c>
    </row>
    <row r="895" customFormat="false" ht="15" hidden="false" customHeight="false" outlineLevel="0" collapsed="false">
      <c r="B895" s="12" t="s">
        <v>45</v>
      </c>
      <c r="C895" s="12" t="s">
        <v>268</v>
      </c>
      <c r="D895" s="17" t="s">
        <v>269</v>
      </c>
      <c r="E895" s="17"/>
      <c r="F895" s="13" t="n">
        <v>13</v>
      </c>
      <c r="G895" s="13" t="n">
        <v>1</v>
      </c>
      <c r="H895" s="18" t="n">
        <f aca="false">N(G895)-N(F895)</f>
        <v>-12</v>
      </c>
      <c r="I895" s="13"/>
    </row>
    <row r="896" customFormat="false" ht="15" hidden="false" customHeight="false" outlineLevel="0" collapsed="false">
      <c r="B896" s="12" t="s">
        <v>45</v>
      </c>
      <c r="C896" s="12" t="s">
        <v>271</v>
      </c>
      <c r="D896" s="17" t="s">
        <v>272</v>
      </c>
      <c r="E896" s="17"/>
      <c r="F896" s="13" t="n">
        <v>0</v>
      </c>
      <c r="G896" s="13" t="n">
        <v>3</v>
      </c>
      <c r="H896" s="18" t="n">
        <f aca="false">N(G896)-N(F896)</f>
        <v>3</v>
      </c>
      <c r="I896" s="13"/>
    </row>
    <row r="897" customFormat="false" ht="15" hidden="false" customHeight="false" outlineLevel="0" collapsed="false">
      <c r="B897" s="12" t="s">
        <v>45</v>
      </c>
      <c r="C897" s="12" t="s">
        <v>129</v>
      </c>
      <c r="D897" s="17" t="s">
        <v>130</v>
      </c>
      <c r="E897" s="17"/>
      <c r="F897" s="13" t="n">
        <v>0</v>
      </c>
      <c r="G897" s="13" t="n">
        <v>2</v>
      </c>
      <c r="H897" s="18" t="n">
        <f aca="false">N(G897)-N(F897)</f>
        <v>2</v>
      </c>
      <c r="I897" s="13"/>
    </row>
    <row r="898" customFormat="false" ht="15" hidden="false" customHeight="false" outlineLevel="0" collapsed="false">
      <c r="B898" s="12" t="s">
        <v>45</v>
      </c>
      <c r="C898" s="12" t="s">
        <v>274</v>
      </c>
      <c r="D898" s="17" t="s">
        <v>275</v>
      </c>
      <c r="E898" s="17" t="s">
        <v>68</v>
      </c>
      <c r="F898" s="13" t="n">
        <v>0</v>
      </c>
      <c r="G898" s="13" t="n">
        <v>0</v>
      </c>
      <c r="H898" s="18" t="n">
        <f aca="false">N(G898)-N(F898)</f>
        <v>0</v>
      </c>
      <c r="I898" s="13" t="n">
        <v>30</v>
      </c>
    </row>
    <row r="899" customFormat="false" ht="15" hidden="false" customHeight="false" outlineLevel="0" collapsed="false">
      <c r="B899" s="12" t="s">
        <v>45</v>
      </c>
      <c r="C899" s="12" t="s">
        <v>231</v>
      </c>
      <c r="D899" s="17" t="s">
        <v>232</v>
      </c>
      <c r="E899" s="17"/>
      <c r="F899" s="13" t="n">
        <v>0</v>
      </c>
      <c r="G899" s="13" t="n">
        <v>6</v>
      </c>
      <c r="H899" s="18" t="n">
        <f aca="false">N(G899)-N(F899)</f>
        <v>6</v>
      </c>
      <c r="I899" s="13"/>
    </row>
    <row r="900" customFormat="false" ht="15" hidden="false" customHeight="false" outlineLevel="0" collapsed="false">
      <c r="B900" s="12" t="s">
        <v>45</v>
      </c>
      <c r="C900" s="12" t="s">
        <v>285</v>
      </c>
      <c r="D900" s="17" t="s">
        <v>286</v>
      </c>
      <c r="E900" s="17"/>
      <c r="F900" s="13" t="n">
        <v>3</v>
      </c>
      <c r="G900" s="13" t="n">
        <v>2</v>
      </c>
      <c r="H900" s="18" t="n">
        <f aca="false">N(G900)-N(F900)</f>
        <v>-1</v>
      </c>
      <c r="I900" s="13"/>
    </row>
    <row r="901" customFormat="false" ht="15" hidden="false" customHeight="false" outlineLevel="0" collapsed="false">
      <c r="B901" s="12" t="s">
        <v>45</v>
      </c>
      <c r="C901" s="12" t="s">
        <v>70</v>
      </c>
      <c r="D901" s="17" t="s">
        <v>71</v>
      </c>
      <c r="E901" s="17" t="s">
        <v>68</v>
      </c>
      <c r="F901" s="13" t="n">
        <v>150</v>
      </c>
      <c r="G901" s="13" t="n">
        <v>88</v>
      </c>
      <c r="H901" s="18" t="n">
        <f aca="false">N(G901)-N(F901)</f>
        <v>-62</v>
      </c>
      <c r="I901" s="13" t="n">
        <v>150</v>
      </c>
    </row>
    <row r="902" customFormat="false" ht="15" hidden="false" customHeight="false" outlineLevel="0" collapsed="false">
      <c r="B902" s="12" t="s">
        <v>45</v>
      </c>
      <c r="C902" s="12" t="s">
        <v>72</v>
      </c>
      <c r="D902" s="17" t="s">
        <v>73</v>
      </c>
      <c r="E902" s="17"/>
      <c r="F902" s="13" t="n">
        <v>0</v>
      </c>
      <c r="G902" s="13" t="n">
        <v>24</v>
      </c>
      <c r="H902" s="18" t="n">
        <f aca="false">N(G902)-N(F902)</f>
        <v>24</v>
      </c>
      <c r="I902" s="13"/>
    </row>
    <row r="903" customFormat="false" ht="15" hidden="false" customHeight="false" outlineLevel="0" collapsed="false">
      <c r="B903" s="12" t="s">
        <v>45</v>
      </c>
      <c r="C903" s="12" t="s">
        <v>74</v>
      </c>
      <c r="D903" s="17" t="s">
        <v>75</v>
      </c>
      <c r="E903" s="17" t="s">
        <v>68</v>
      </c>
      <c r="F903" s="13" t="n">
        <v>12</v>
      </c>
      <c r="G903" s="13" t="n">
        <v>12</v>
      </c>
      <c r="H903" s="18" t="n">
        <f aca="false">N(G903)-N(F903)</f>
        <v>0</v>
      </c>
      <c r="I903" s="13" t="n">
        <v>12</v>
      </c>
    </row>
    <row r="904" customFormat="false" ht="15" hidden="false" customHeight="false" outlineLevel="0" collapsed="false">
      <c r="B904" s="12" t="s">
        <v>45</v>
      </c>
      <c r="C904" s="12" t="s">
        <v>164</v>
      </c>
      <c r="D904" s="17" t="s">
        <v>165</v>
      </c>
      <c r="E904" s="17"/>
      <c r="F904" s="13" t="n">
        <v>0</v>
      </c>
      <c r="G904" s="13" t="n">
        <v>15</v>
      </c>
      <c r="H904" s="18" t="n">
        <f aca="false">N(G904)-N(F904)</f>
        <v>15</v>
      </c>
      <c r="I904" s="13"/>
    </row>
    <row r="905" customFormat="false" ht="15" hidden="false" customHeight="false" outlineLevel="0" collapsed="false">
      <c r="B905" s="12" t="s">
        <v>45</v>
      </c>
      <c r="C905" s="12" t="s">
        <v>167</v>
      </c>
      <c r="D905" s="17" t="s">
        <v>168</v>
      </c>
      <c r="E905" s="17" t="s">
        <v>68</v>
      </c>
      <c r="F905" s="13" t="n">
        <v>31</v>
      </c>
      <c r="G905" s="13" t="n">
        <v>0</v>
      </c>
      <c r="H905" s="18" t="n">
        <f aca="false">N(G905)-N(F905)</f>
        <v>-31</v>
      </c>
      <c r="I905" s="13" t="n">
        <v>62</v>
      </c>
    </row>
    <row r="906" customFormat="false" ht="15" hidden="false" customHeight="false" outlineLevel="0" collapsed="false">
      <c r="B906" s="12" t="s">
        <v>45</v>
      </c>
      <c r="C906" s="12" t="s">
        <v>76</v>
      </c>
      <c r="D906" s="17" t="s">
        <v>77</v>
      </c>
      <c r="E906" s="17" t="s">
        <v>68</v>
      </c>
      <c r="F906" s="13" t="n">
        <v>75</v>
      </c>
      <c r="G906" s="13" t="n">
        <v>54</v>
      </c>
      <c r="H906" s="18" t="n">
        <f aca="false">N(G906)-N(F906)</f>
        <v>-21</v>
      </c>
      <c r="I906" s="13" t="n">
        <v>105</v>
      </c>
    </row>
    <row r="907" customFormat="false" ht="15" hidden="false" customHeight="false" outlineLevel="0" collapsed="false">
      <c r="B907" s="12" t="s">
        <v>45</v>
      </c>
      <c r="C907" s="12" t="s">
        <v>78</v>
      </c>
      <c r="D907" s="17" t="s">
        <v>79</v>
      </c>
      <c r="E907" s="17" t="s">
        <v>68</v>
      </c>
      <c r="F907" s="13" t="n">
        <v>125</v>
      </c>
      <c r="G907" s="13" t="n">
        <v>141</v>
      </c>
      <c r="H907" s="18" t="n">
        <f aca="false">N(G907)-N(F907)</f>
        <v>16</v>
      </c>
      <c r="I907" s="13" t="n">
        <v>125</v>
      </c>
    </row>
    <row r="908" customFormat="false" ht="15" hidden="false" customHeight="false" outlineLevel="0" collapsed="false">
      <c r="B908" s="12" t="s">
        <v>45</v>
      </c>
      <c r="C908" s="12" t="s">
        <v>80</v>
      </c>
      <c r="D908" s="17" t="s">
        <v>81</v>
      </c>
      <c r="E908" s="17" t="s">
        <v>68</v>
      </c>
      <c r="F908" s="13" t="n">
        <v>280</v>
      </c>
      <c r="G908" s="13" t="n">
        <v>206</v>
      </c>
      <c r="H908" s="18" t="n">
        <f aca="false">N(G908)-N(F908)</f>
        <v>-74</v>
      </c>
      <c r="I908" s="13" t="n">
        <v>280</v>
      </c>
    </row>
    <row r="909" customFormat="false" ht="15" hidden="false" customHeight="false" outlineLevel="0" collapsed="false">
      <c r="B909" s="12" t="s">
        <v>45</v>
      </c>
      <c r="C909" s="12" t="s">
        <v>82</v>
      </c>
      <c r="D909" s="17" t="s">
        <v>83</v>
      </c>
      <c r="E909" s="17"/>
      <c r="F909" s="13" t="n">
        <v>0</v>
      </c>
      <c r="G909" s="13" t="n">
        <v>20</v>
      </c>
      <c r="H909" s="18" t="n">
        <f aca="false">N(G909)-N(F909)</f>
        <v>20</v>
      </c>
      <c r="I909" s="13"/>
    </row>
    <row r="910" customFormat="false" ht="15" hidden="false" customHeight="false" outlineLevel="0" collapsed="false">
      <c r="B910" s="12" t="s">
        <v>45</v>
      </c>
      <c r="C910" s="12" t="s">
        <v>291</v>
      </c>
      <c r="D910" s="17" t="s">
        <v>292</v>
      </c>
      <c r="E910" s="17"/>
      <c r="F910" s="13" t="n">
        <v>0</v>
      </c>
      <c r="G910" s="13" t="n">
        <v>0</v>
      </c>
      <c r="H910" s="18" t="n">
        <f aca="false">N(G910)-N(F910)</f>
        <v>0</v>
      </c>
      <c r="I910" s="13"/>
    </row>
    <row r="911" customFormat="false" ht="15" hidden="false" customHeight="false" outlineLevel="0" collapsed="false">
      <c r="B911" s="12" t="s">
        <v>45</v>
      </c>
      <c r="C911" s="12" t="s">
        <v>84</v>
      </c>
      <c r="D911" s="17" t="s">
        <v>85</v>
      </c>
      <c r="E911" s="17" t="s">
        <v>68</v>
      </c>
      <c r="F911" s="13" t="n">
        <v>35</v>
      </c>
      <c r="G911" s="13" t="n">
        <v>16</v>
      </c>
      <c r="H911" s="18" t="n">
        <f aca="false">N(G911)-N(F911)</f>
        <v>-19</v>
      </c>
      <c r="I911" s="13" t="n">
        <v>35</v>
      </c>
    </row>
    <row r="912" customFormat="false" ht="15" hidden="false" customHeight="false" outlineLevel="0" collapsed="false">
      <c r="B912" s="12" t="s">
        <v>45</v>
      </c>
      <c r="C912" s="12" t="s">
        <v>193</v>
      </c>
      <c r="D912" s="17" t="s">
        <v>194</v>
      </c>
      <c r="E912" s="17"/>
      <c r="F912" s="13" t="n">
        <v>0</v>
      </c>
      <c r="G912" s="13" t="n">
        <v>4</v>
      </c>
      <c r="H912" s="18" t="n">
        <f aca="false">N(G912)-N(F912)</f>
        <v>4</v>
      </c>
      <c r="I912" s="13"/>
    </row>
    <row r="913" customFormat="false" ht="15" hidden="false" customHeight="false" outlineLevel="0" collapsed="false">
      <c r="B913" s="12" t="s">
        <v>45</v>
      </c>
      <c r="C913" s="12" t="s">
        <v>86</v>
      </c>
      <c r="D913" s="17" t="s">
        <v>87</v>
      </c>
      <c r="E913" s="17" t="s">
        <v>68</v>
      </c>
      <c r="F913" s="13" t="n">
        <v>25</v>
      </c>
      <c r="G913" s="13" t="n">
        <v>13</v>
      </c>
      <c r="H913" s="18" t="n">
        <f aca="false">N(G913)-N(F913)</f>
        <v>-12</v>
      </c>
      <c r="I913" s="13" t="n">
        <v>25</v>
      </c>
    </row>
    <row r="914" customFormat="false" ht="15" hidden="false" customHeight="false" outlineLevel="0" collapsed="false">
      <c r="B914" s="12" t="s">
        <v>45</v>
      </c>
      <c r="C914" s="12" t="s">
        <v>132</v>
      </c>
      <c r="D914" s="17" t="s">
        <v>133</v>
      </c>
      <c r="E914" s="17" t="s">
        <v>68</v>
      </c>
      <c r="F914" s="13" t="n">
        <v>40</v>
      </c>
      <c r="G914" s="13" t="n">
        <v>59</v>
      </c>
      <c r="H914" s="18" t="n">
        <f aca="false">N(G914)-N(F914)</f>
        <v>19</v>
      </c>
      <c r="I914" s="13" t="n">
        <v>40</v>
      </c>
    </row>
    <row r="915" customFormat="false" ht="15" hidden="false" customHeight="false" outlineLevel="0" collapsed="false">
      <c r="B915" s="12" t="s">
        <v>45</v>
      </c>
      <c r="C915" s="12" t="s">
        <v>294</v>
      </c>
      <c r="D915" s="17" t="s">
        <v>295</v>
      </c>
      <c r="E915" s="17"/>
      <c r="F915" s="13" t="n">
        <v>1</v>
      </c>
      <c r="G915" s="13" t="n">
        <v>1</v>
      </c>
      <c r="H915" s="18" t="n">
        <f aca="false">N(G915)-N(F915)</f>
        <v>0</v>
      </c>
      <c r="I915" s="13"/>
    </row>
    <row r="916" customFormat="false" ht="15" hidden="false" customHeight="false" outlineLevel="0" collapsed="false">
      <c r="B916" s="12" t="s">
        <v>45</v>
      </c>
      <c r="C916" s="12" t="s">
        <v>196</v>
      </c>
      <c r="D916" s="17" t="s">
        <v>197</v>
      </c>
      <c r="E916" s="17"/>
      <c r="F916" s="13" t="n">
        <v>0</v>
      </c>
      <c r="G916" s="13" t="n">
        <v>4</v>
      </c>
      <c r="H916" s="18" t="n">
        <f aca="false">N(G916)-N(F916)</f>
        <v>4</v>
      </c>
      <c r="I916" s="13"/>
    </row>
    <row r="917" customFormat="false" ht="15" hidden="false" customHeight="false" outlineLevel="0" collapsed="false">
      <c r="B917" s="12" t="s">
        <v>45</v>
      </c>
      <c r="C917" s="12" t="s">
        <v>110</v>
      </c>
      <c r="D917" s="17" t="s">
        <v>111</v>
      </c>
      <c r="E917" s="17"/>
      <c r="F917" s="13" t="n">
        <v>0</v>
      </c>
      <c r="G917" s="13" t="n">
        <v>51</v>
      </c>
      <c r="H917" s="18" t="n">
        <f aca="false">N(G917)-N(F917)</f>
        <v>51</v>
      </c>
      <c r="I917" s="13"/>
    </row>
    <row r="918" customFormat="false" ht="15" hidden="false" customHeight="false" outlineLevel="0" collapsed="false">
      <c r="B918" s="12" t="s">
        <v>45</v>
      </c>
      <c r="C918" s="12" t="s">
        <v>135</v>
      </c>
      <c r="D918" s="17" t="s">
        <v>136</v>
      </c>
      <c r="E918" s="17" t="s">
        <v>94</v>
      </c>
      <c r="F918" s="13" t="n">
        <v>7300</v>
      </c>
      <c r="G918" s="13" t="n">
        <v>8056</v>
      </c>
      <c r="H918" s="18" t="n">
        <f aca="false">N(G918)-N(F918)</f>
        <v>756</v>
      </c>
      <c r="I918" s="13" t="n">
        <v>7623.1882</v>
      </c>
    </row>
    <row r="919" customFormat="false" ht="15" hidden="false" customHeight="false" outlineLevel="0" collapsed="false">
      <c r="B919" s="12" t="s">
        <v>45</v>
      </c>
      <c r="C919" s="12" t="s">
        <v>170</v>
      </c>
      <c r="D919" s="17" t="s">
        <v>171</v>
      </c>
      <c r="E919" s="17"/>
      <c r="F919" s="13" t="n">
        <v>20</v>
      </c>
      <c r="G919" s="13" t="n">
        <v>20</v>
      </c>
      <c r="H919" s="18" t="n">
        <f aca="false">N(G919)-N(F919)</f>
        <v>0</v>
      </c>
      <c r="I919" s="13"/>
    </row>
    <row r="920" customFormat="false" ht="15" hidden="false" customHeight="false" outlineLevel="0" collapsed="false">
      <c r="B920" s="12" t="s">
        <v>45</v>
      </c>
      <c r="C920" s="12" t="s">
        <v>198</v>
      </c>
      <c r="D920" s="17" t="s">
        <v>199</v>
      </c>
      <c r="E920" s="17"/>
      <c r="F920" s="13" t="n">
        <v>12</v>
      </c>
      <c r="G920" s="13" t="n">
        <v>12</v>
      </c>
      <c r="H920" s="18" t="n">
        <f aca="false">N(G920)-N(F920)</f>
        <v>0</v>
      </c>
      <c r="I920" s="13"/>
    </row>
    <row r="921" customFormat="false" ht="15" hidden="false" customHeight="false" outlineLevel="0" collapsed="false">
      <c r="B921" s="12" t="s">
        <v>45</v>
      </c>
      <c r="C921" s="12" t="s">
        <v>88</v>
      </c>
      <c r="D921" s="17" t="s">
        <v>89</v>
      </c>
      <c r="E921" s="17" t="s">
        <v>68</v>
      </c>
      <c r="F921" s="13" t="n">
        <v>60</v>
      </c>
      <c r="G921" s="13" t="n">
        <v>58</v>
      </c>
      <c r="H921" s="18" t="n">
        <f aca="false">N(G921)-N(F921)</f>
        <v>-2</v>
      </c>
      <c r="I921" s="13" t="n">
        <v>60</v>
      </c>
    </row>
    <row r="922" customFormat="false" ht="15" hidden="false" customHeight="false" outlineLevel="0" collapsed="false">
      <c r="B922" s="12" t="s">
        <v>45</v>
      </c>
      <c r="C922" s="12" t="s">
        <v>90</v>
      </c>
      <c r="D922" s="17" t="s">
        <v>91</v>
      </c>
      <c r="E922" s="17" t="s">
        <v>68</v>
      </c>
      <c r="F922" s="13" t="n">
        <v>13</v>
      </c>
      <c r="G922" s="13" t="n">
        <v>13</v>
      </c>
      <c r="H922" s="18" t="n">
        <f aca="false">N(G922)-N(F922)</f>
        <v>0</v>
      </c>
      <c r="I922" s="13" t="n">
        <v>13</v>
      </c>
    </row>
    <row r="923" customFormat="false" ht="15" hidden="false" customHeight="false" outlineLevel="0" collapsed="false">
      <c r="B923" s="12" t="s">
        <v>45</v>
      </c>
      <c r="C923" s="12" t="s">
        <v>92</v>
      </c>
      <c r="D923" s="17" t="s">
        <v>93</v>
      </c>
      <c r="E923" s="17"/>
      <c r="F923" s="13" t="n">
        <v>0</v>
      </c>
      <c r="G923" s="13" t="n">
        <v>390</v>
      </c>
      <c r="H923" s="18" t="n">
        <f aca="false">N(G923)-N(F923)</f>
        <v>390</v>
      </c>
      <c r="I923" s="13"/>
    </row>
    <row r="924" customFormat="false" ht="15" hidden="false" customHeight="false" outlineLevel="0" collapsed="false">
      <c r="B924" s="12" t="s">
        <v>45</v>
      </c>
      <c r="C924" s="12" t="s">
        <v>240</v>
      </c>
      <c r="D924" s="17" t="s">
        <v>241</v>
      </c>
      <c r="E924" s="17" t="s">
        <v>94</v>
      </c>
      <c r="F924" s="13" t="n">
        <v>2650</v>
      </c>
      <c r="G924" s="13" t="n">
        <v>81</v>
      </c>
      <c r="H924" s="18" t="n">
        <f aca="false">N(G924)-N(F924)</f>
        <v>-2569</v>
      </c>
      <c r="I924" s="13" t="n">
        <v>3512.3499</v>
      </c>
    </row>
    <row r="925" customFormat="false" ht="15" hidden="false" customHeight="false" outlineLevel="0" collapsed="false">
      <c r="B925" s="12" t="s">
        <v>45</v>
      </c>
      <c r="C925" s="12" t="s">
        <v>95</v>
      </c>
      <c r="D925" s="17" t="s">
        <v>96</v>
      </c>
      <c r="E925" s="17"/>
      <c r="F925" s="13" t="n">
        <v>8</v>
      </c>
      <c r="G925" s="13" t="n">
        <v>5</v>
      </c>
      <c r="H925" s="18" t="n">
        <f aca="false">N(G925)-N(F925)</f>
        <v>-3</v>
      </c>
      <c r="I925" s="13"/>
    </row>
    <row r="926" customFormat="false" ht="15" hidden="false" customHeight="false" outlineLevel="0" collapsed="false">
      <c r="B926" s="12" t="s">
        <v>45</v>
      </c>
      <c r="C926" s="12" t="s">
        <v>97</v>
      </c>
      <c r="D926" s="17" t="s">
        <v>98</v>
      </c>
      <c r="E926" s="17" t="s">
        <v>68</v>
      </c>
      <c r="F926" s="13" t="n">
        <v>61</v>
      </c>
      <c r="G926" s="13" t="n">
        <v>54</v>
      </c>
      <c r="H926" s="18" t="n">
        <f aca="false">N(G926)-N(F926)</f>
        <v>-7</v>
      </c>
      <c r="I926" s="13" t="n">
        <v>61</v>
      </c>
    </row>
    <row r="927" customFormat="false" ht="15" hidden="false" customHeight="false" outlineLevel="0" collapsed="false">
      <c r="B927" s="12" t="s">
        <v>45</v>
      </c>
      <c r="C927" s="12" t="s">
        <v>201</v>
      </c>
      <c r="D927" s="17" t="s">
        <v>202</v>
      </c>
      <c r="E927" s="17" t="s">
        <v>68</v>
      </c>
      <c r="F927" s="13" t="n">
        <v>20</v>
      </c>
      <c r="G927" s="13" t="n">
        <v>6</v>
      </c>
      <c r="H927" s="18" t="n">
        <f aca="false">N(G927)-N(F927)</f>
        <v>-14</v>
      </c>
      <c r="I927" s="13" t="n">
        <v>20</v>
      </c>
    </row>
    <row r="928" customFormat="false" ht="15" hidden="false" customHeight="false" outlineLevel="0" collapsed="false">
      <c r="B928" s="12" t="s">
        <v>45</v>
      </c>
      <c r="C928" s="12" t="s">
        <v>138</v>
      </c>
      <c r="D928" s="17" t="s">
        <v>139</v>
      </c>
      <c r="E928" s="17" t="s">
        <v>68</v>
      </c>
      <c r="F928" s="13" t="n">
        <v>2</v>
      </c>
      <c r="G928" s="13" t="n">
        <v>4</v>
      </c>
      <c r="H928" s="18" t="n">
        <f aca="false">N(G928)-N(F928)</f>
        <v>2</v>
      </c>
      <c r="I928" s="13" t="n">
        <v>4</v>
      </c>
    </row>
    <row r="929" customFormat="false" ht="15" hidden="false" customHeight="false" outlineLevel="0" collapsed="false">
      <c r="B929" s="12" t="s">
        <v>45</v>
      </c>
      <c r="C929" s="12" t="s">
        <v>366</v>
      </c>
      <c r="D929" s="17" t="s">
        <v>367</v>
      </c>
      <c r="E929" s="17"/>
      <c r="F929" s="13" t="n">
        <v>0</v>
      </c>
      <c r="G929" s="13" t="n">
        <v>1</v>
      </c>
      <c r="H929" s="18" t="n">
        <f aca="false">N(G929)-N(F929)</f>
        <v>1</v>
      </c>
      <c r="I929" s="13"/>
    </row>
    <row r="930" customFormat="false" ht="15" hidden="false" customHeight="false" outlineLevel="0" collapsed="false">
      <c r="B930" s="12" t="s">
        <v>45</v>
      </c>
      <c r="C930" s="12" t="s">
        <v>460</v>
      </c>
      <c r="D930" s="17" t="s">
        <v>461</v>
      </c>
      <c r="E930" s="17" t="s">
        <v>68</v>
      </c>
      <c r="F930" s="13" t="n">
        <v>0</v>
      </c>
      <c r="G930" s="13" t="n">
        <v>2</v>
      </c>
      <c r="H930" s="18" t="n">
        <f aca="false">N(G930)-N(F930)</f>
        <v>2</v>
      </c>
      <c r="I930" s="13" t="n">
        <v>2</v>
      </c>
    </row>
    <row r="931" customFormat="false" ht="15" hidden="false" customHeight="false" outlineLevel="0" collapsed="false">
      <c r="B931" s="12" t="s">
        <v>45</v>
      </c>
      <c r="C931" s="12" t="s">
        <v>242</v>
      </c>
      <c r="D931" s="17" t="s">
        <v>243</v>
      </c>
      <c r="E931" s="17"/>
      <c r="F931" s="13" t="n">
        <v>0</v>
      </c>
      <c r="G931" s="13" t="n">
        <v>3</v>
      </c>
      <c r="H931" s="18" t="n">
        <f aca="false">N(G931)-N(F931)</f>
        <v>3</v>
      </c>
      <c r="I931" s="13"/>
    </row>
    <row r="932" customFormat="false" ht="15" hidden="false" customHeight="false" outlineLevel="0" collapsed="false">
      <c r="B932" s="12" t="s">
        <v>45</v>
      </c>
      <c r="C932" s="12" t="s">
        <v>113</v>
      </c>
      <c r="D932" s="17" t="s">
        <v>114</v>
      </c>
      <c r="E932" s="17" t="s">
        <v>68</v>
      </c>
      <c r="F932" s="13" t="n">
        <v>25</v>
      </c>
      <c r="G932" s="13" t="n">
        <v>38</v>
      </c>
      <c r="H932" s="18" t="n">
        <f aca="false">N(G932)-N(F932)</f>
        <v>13</v>
      </c>
      <c r="I932" s="13" t="n">
        <v>25</v>
      </c>
    </row>
    <row r="933" customFormat="false" ht="15" hidden="false" customHeight="false" outlineLevel="0" collapsed="false">
      <c r="B933" s="12" t="s">
        <v>45</v>
      </c>
      <c r="C933" s="12" t="s">
        <v>329</v>
      </c>
      <c r="D933" s="17" t="s">
        <v>330</v>
      </c>
      <c r="E933" s="17"/>
      <c r="F933" s="13" t="n">
        <v>0</v>
      </c>
      <c r="G933" s="13" t="n">
        <v>3</v>
      </c>
      <c r="H933" s="18" t="n">
        <f aca="false">N(G933)-N(F933)</f>
        <v>3</v>
      </c>
      <c r="I933" s="13"/>
    </row>
    <row r="934" customFormat="false" ht="15" hidden="false" customHeight="false" outlineLevel="0" collapsed="false">
      <c r="B934" s="12" t="s">
        <v>45</v>
      </c>
      <c r="C934" s="12" t="s">
        <v>304</v>
      </c>
      <c r="D934" s="17" t="s">
        <v>305</v>
      </c>
      <c r="E934" s="17" t="s">
        <v>68</v>
      </c>
      <c r="F934" s="13" t="n">
        <v>10</v>
      </c>
      <c r="G934" s="13" t="n">
        <v>3</v>
      </c>
      <c r="H934" s="18" t="n">
        <f aca="false">N(G934)-N(F934)</f>
        <v>-7</v>
      </c>
      <c r="I934" s="13" t="n">
        <v>10</v>
      </c>
    </row>
    <row r="935" customFormat="false" ht="15" hidden="false" customHeight="false" outlineLevel="0" collapsed="false">
      <c r="B935" s="12" t="s">
        <v>45</v>
      </c>
      <c r="C935" s="12" t="s">
        <v>115</v>
      </c>
      <c r="D935" s="17" t="s">
        <v>116</v>
      </c>
      <c r="E935" s="17" t="s">
        <v>68</v>
      </c>
      <c r="F935" s="13" t="n">
        <v>13</v>
      </c>
      <c r="G935" s="13" t="n">
        <v>0</v>
      </c>
      <c r="H935" s="18" t="n">
        <f aca="false">N(G935)-N(F935)</f>
        <v>-13</v>
      </c>
      <c r="I935" s="13" t="n">
        <v>13</v>
      </c>
    </row>
    <row r="936" customFormat="false" ht="15" hidden="false" customHeight="false" outlineLevel="0" collapsed="false">
      <c r="B936" s="12" t="s">
        <v>45</v>
      </c>
      <c r="C936" s="12" t="s">
        <v>332</v>
      </c>
      <c r="D936" s="17" t="s">
        <v>333</v>
      </c>
      <c r="E936" s="17"/>
      <c r="F936" s="13" t="n">
        <v>0</v>
      </c>
      <c r="G936" s="13" t="n">
        <v>3</v>
      </c>
      <c r="H936" s="18" t="n">
        <f aca="false">N(G936)-N(F936)</f>
        <v>3</v>
      </c>
      <c r="I936" s="13"/>
    </row>
    <row r="937" customFormat="false" ht="15" hidden="false" customHeight="false" outlineLevel="0" collapsed="false">
      <c r="B937" s="12" t="s">
        <v>45</v>
      </c>
      <c r="C937" s="12" t="s">
        <v>118</v>
      </c>
      <c r="D937" s="17" t="s">
        <v>119</v>
      </c>
      <c r="E937" s="17" t="s">
        <v>68</v>
      </c>
      <c r="F937" s="13" t="n">
        <v>31</v>
      </c>
      <c r="G937" s="13" t="n">
        <v>28</v>
      </c>
      <c r="H937" s="18" t="n">
        <f aca="false">N(G937)-N(F937)</f>
        <v>-3</v>
      </c>
      <c r="I937" s="13" t="n">
        <v>31</v>
      </c>
    </row>
    <row r="938" customFormat="false" ht="15" hidden="false" customHeight="false" outlineLevel="0" collapsed="false">
      <c r="B938" s="12" t="s">
        <v>45</v>
      </c>
      <c r="C938" s="12" t="s">
        <v>204</v>
      </c>
      <c r="D938" s="17" t="s">
        <v>205</v>
      </c>
      <c r="E938" s="17" t="s">
        <v>68</v>
      </c>
      <c r="F938" s="13" t="n">
        <v>6</v>
      </c>
      <c r="G938" s="13" t="n">
        <v>6</v>
      </c>
      <c r="H938" s="18" t="n">
        <f aca="false">N(G938)-N(F938)</f>
        <v>0</v>
      </c>
      <c r="I938" s="13" t="n">
        <v>6</v>
      </c>
    </row>
    <row r="939" customFormat="false" ht="15" hidden="false" customHeight="false" outlineLevel="0" collapsed="false">
      <c r="B939" s="12" t="s">
        <v>45</v>
      </c>
      <c r="C939" s="12" t="s">
        <v>99</v>
      </c>
      <c r="D939" s="17" t="s">
        <v>100</v>
      </c>
      <c r="E939" s="17" t="s">
        <v>68</v>
      </c>
      <c r="F939" s="13" t="n">
        <v>35</v>
      </c>
      <c r="G939" s="13" t="n">
        <v>37</v>
      </c>
      <c r="H939" s="18" t="n">
        <f aca="false">N(G939)-N(F939)</f>
        <v>2</v>
      </c>
      <c r="I939" s="13" t="n">
        <v>35</v>
      </c>
    </row>
    <row r="940" customFormat="false" ht="15" hidden="false" customHeight="false" outlineLevel="0" collapsed="false">
      <c r="B940" s="12" t="s">
        <v>45</v>
      </c>
      <c r="C940" s="12" t="s">
        <v>173</v>
      </c>
      <c r="D940" s="17" t="s">
        <v>174</v>
      </c>
      <c r="E940" s="17" t="s">
        <v>68</v>
      </c>
      <c r="F940" s="13" t="n">
        <v>10</v>
      </c>
      <c r="G940" s="13" t="n">
        <v>14</v>
      </c>
      <c r="H940" s="18" t="n">
        <f aca="false">N(G940)-N(F940)</f>
        <v>4</v>
      </c>
      <c r="I940" s="13" t="n">
        <v>10</v>
      </c>
    </row>
    <row r="941" customFormat="false" ht="15" hidden="false" customHeight="false" outlineLevel="0" collapsed="false">
      <c r="B941" s="12" t="s">
        <v>45</v>
      </c>
      <c r="C941" s="12" t="s">
        <v>101</v>
      </c>
      <c r="D941" s="17" t="s">
        <v>102</v>
      </c>
      <c r="E941" s="17" t="s">
        <v>68</v>
      </c>
      <c r="F941" s="13" t="n">
        <v>0</v>
      </c>
      <c r="G941" s="13" t="n">
        <v>18</v>
      </c>
      <c r="H941" s="18" t="n">
        <f aca="false">N(G941)-N(F941)</f>
        <v>18</v>
      </c>
      <c r="I941" s="13" t="n">
        <v>15</v>
      </c>
    </row>
    <row r="942" customFormat="false" ht="15" hidden="false" customHeight="false" outlineLevel="0" collapsed="false">
      <c r="B942" s="12" t="s">
        <v>45</v>
      </c>
      <c r="C942" s="12" t="s">
        <v>121</v>
      </c>
      <c r="D942" s="17" t="s">
        <v>122</v>
      </c>
      <c r="E942" s="17" t="s">
        <v>68</v>
      </c>
      <c r="F942" s="13" t="n">
        <v>48</v>
      </c>
      <c r="G942" s="13" t="n">
        <v>44</v>
      </c>
      <c r="H942" s="18" t="n">
        <f aca="false">N(G942)-N(F942)</f>
        <v>-4</v>
      </c>
      <c r="I942" s="13" t="n">
        <v>48</v>
      </c>
    </row>
    <row r="943" customFormat="false" ht="15" hidden="false" customHeight="false" outlineLevel="0" collapsed="false">
      <c r="B943" s="12" t="s">
        <v>45</v>
      </c>
      <c r="C943" s="12" t="s">
        <v>141</v>
      </c>
      <c r="D943" s="17" t="s">
        <v>142</v>
      </c>
      <c r="E943" s="17" t="s">
        <v>68</v>
      </c>
      <c r="F943" s="13" t="n">
        <v>6</v>
      </c>
      <c r="G943" s="13" t="n">
        <v>6</v>
      </c>
      <c r="H943" s="18" t="n">
        <f aca="false">N(G943)-N(F943)</f>
        <v>0</v>
      </c>
      <c r="I943" s="13" t="n">
        <v>6</v>
      </c>
    </row>
    <row r="944" customFormat="false" ht="15" hidden="false" customHeight="false" outlineLevel="0" collapsed="false">
      <c r="B944" s="12" t="s">
        <v>45</v>
      </c>
      <c r="C944" s="12" t="s">
        <v>207</v>
      </c>
      <c r="D944" s="17" t="s">
        <v>208</v>
      </c>
      <c r="E944" s="17" t="s">
        <v>68</v>
      </c>
      <c r="F944" s="13" t="n">
        <v>12</v>
      </c>
      <c r="G944" s="13" t="n">
        <v>8</v>
      </c>
      <c r="H944" s="18" t="n">
        <f aca="false">N(G944)-N(F944)</f>
        <v>-4</v>
      </c>
      <c r="I944" s="13" t="n">
        <v>12</v>
      </c>
    </row>
    <row r="945" customFormat="false" ht="15" hidden="false" customHeight="false" outlineLevel="0" collapsed="false">
      <c r="B945" s="12" t="s">
        <v>45</v>
      </c>
      <c r="C945" s="12" t="s">
        <v>210</v>
      </c>
      <c r="D945" s="17" t="s">
        <v>211</v>
      </c>
      <c r="E945" s="17" t="s">
        <v>68</v>
      </c>
      <c r="F945" s="13" t="n">
        <v>15</v>
      </c>
      <c r="G945" s="13" t="n">
        <v>15</v>
      </c>
      <c r="H945" s="18" t="n">
        <f aca="false">N(G945)-N(F945)</f>
        <v>0</v>
      </c>
      <c r="I945" s="13" t="n">
        <v>15</v>
      </c>
    </row>
    <row r="946" customFormat="false" ht="15" hidden="false" customHeight="false" outlineLevel="0" collapsed="false">
      <c r="B946" s="12" t="s">
        <v>45</v>
      </c>
      <c r="C946" s="12" t="s">
        <v>176</v>
      </c>
      <c r="D946" s="17" t="s">
        <v>177</v>
      </c>
      <c r="E946" s="17" t="s">
        <v>68</v>
      </c>
      <c r="F946" s="13" t="n">
        <v>4</v>
      </c>
      <c r="G946" s="13" t="n">
        <v>8</v>
      </c>
      <c r="H946" s="18" t="n">
        <f aca="false">N(G946)-N(F946)</f>
        <v>4</v>
      </c>
      <c r="I946" s="13" t="n">
        <v>4</v>
      </c>
    </row>
    <row r="947" customFormat="false" ht="15" hidden="false" customHeight="false" outlineLevel="0" collapsed="false">
      <c r="B947" s="12" t="s">
        <v>45</v>
      </c>
      <c r="C947" s="12" t="s">
        <v>212</v>
      </c>
      <c r="D947" s="17" t="s">
        <v>213</v>
      </c>
      <c r="E947" s="17"/>
      <c r="F947" s="13" t="n">
        <v>17</v>
      </c>
      <c r="G947" s="13" t="n">
        <v>12</v>
      </c>
      <c r="H947" s="18" t="n">
        <f aca="false">N(G947)-N(F947)</f>
        <v>-5</v>
      </c>
      <c r="I947" s="13"/>
    </row>
    <row r="948" customFormat="false" ht="15" hidden="false" customHeight="false" outlineLevel="0" collapsed="false">
      <c r="B948" s="12" t="s">
        <v>45</v>
      </c>
      <c r="C948" s="12" t="s">
        <v>103</v>
      </c>
      <c r="D948" s="17" t="s">
        <v>104</v>
      </c>
      <c r="E948" s="17" t="s">
        <v>68</v>
      </c>
      <c r="F948" s="13" t="n">
        <v>230</v>
      </c>
      <c r="G948" s="13" t="n">
        <v>135</v>
      </c>
      <c r="H948" s="18" t="n">
        <f aca="false">N(G948)-N(F948)</f>
        <v>-95</v>
      </c>
      <c r="I948" s="13" t="n">
        <v>260</v>
      </c>
    </row>
    <row r="949" customFormat="false" ht="15" hidden="false" customHeight="false" outlineLevel="0" collapsed="false">
      <c r="B949" s="12" t="s">
        <v>45</v>
      </c>
      <c r="C949" s="12" t="s">
        <v>215</v>
      </c>
      <c r="D949" s="17" t="s">
        <v>216</v>
      </c>
      <c r="E949" s="17" t="s">
        <v>68</v>
      </c>
      <c r="F949" s="13" t="n">
        <v>0</v>
      </c>
      <c r="G949" s="13" t="n">
        <v>13</v>
      </c>
      <c r="H949" s="18" t="n">
        <f aca="false">N(G949)-N(F949)</f>
        <v>13</v>
      </c>
      <c r="I949" s="13" t="n">
        <v>10</v>
      </c>
    </row>
    <row r="950" customFormat="false" ht="15" hidden="false" customHeight="false" outlineLevel="0" collapsed="false">
      <c r="B950" s="12" t="s">
        <v>45</v>
      </c>
      <c r="C950" s="12" t="s">
        <v>179</v>
      </c>
      <c r="D950" s="17" t="s">
        <v>180</v>
      </c>
      <c r="E950" s="17" t="s">
        <v>68</v>
      </c>
      <c r="F950" s="13" t="n">
        <v>3</v>
      </c>
      <c r="G950" s="13" t="n">
        <v>4</v>
      </c>
      <c r="H950" s="18" t="n">
        <f aca="false">N(G950)-N(F950)</f>
        <v>1</v>
      </c>
      <c r="I950" s="13" t="n">
        <v>3</v>
      </c>
    </row>
    <row r="951" customFormat="false" ht="15" hidden="false" customHeight="false" outlineLevel="0" collapsed="false">
      <c r="B951" s="12" t="s">
        <v>45</v>
      </c>
      <c r="C951" s="12" t="s">
        <v>146</v>
      </c>
      <c r="D951" s="17" t="s">
        <v>147</v>
      </c>
      <c r="E951" s="17" t="s">
        <v>68</v>
      </c>
      <c r="F951" s="13" t="n">
        <v>5</v>
      </c>
      <c r="G951" s="13" t="n">
        <v>5</v>
      </c>
      <c r="H951" s="18" t="n">
        <f aca="false">N(G951)-N(F951)</f>
        <v>0</v>
      </c>
      <c r="I951" s="13" t="n">
        <v>5</v>
      </c>
    </row>
    <row r="952" customFormat="false" ht="15" hidden="false" customHeight="false" outlineLevel="0" collapsed="false">
      <c r="B952" s="12" t="s">
        <v>45</v>
      </c>
      <c r="C952" s="12" t="s">
        <v>182</v>
      </c>
      <c r="D952" s="17" t="s">
        <v>183</v>
      </c>
      <c r="E952" s="17" t="s">
        <v>68</v>
      </c>
      <c r="F952" s="13" t="n">
        <v>36</v>
      </c>
      <c r="G952" s="13" t="n">
        <v>10</v>
      </c>
      <c r="H952" s="18" t="n">
        <f aca="false">N(G952)-N(F952)</f>
        <v>-26</v>
      </c>
      <c r="I952" s="13" t="n">
        <v>36</v>
      </c>
    </row>
    <row r="953" customFormat="false" ht="15" hidden="false" customHeight="false" outlineLevel="0" collapsed="false">
      <c r="B953" s="12" t="s">
        <v>45</v>
      </c>
      <c r="C953" s="12" t="s">
        <v>372</v>
      </c>
      <c r="D953" s="17" t="s">
        <v>373</v>
      </c>
      <c r="E953" s="17"/>
      <c r="F953" s="13" t="n">
        <v>0</v>
      </c>
      <c r="G953" s="13" t="n">
        <v>1</v>
      </c>
      <c r="H953" s="18" t="n">
        <f aca="false">N(G953)-N(F953)</f>
        <v>1</v>
      </c>
      <c r="I953" s="13"/>
    </row>
    <row r="954" customFormat="false" ht="15" hidden="false" customHeight="false" outlineLevel="0" collapsed="false">
      <c r="B954" s="12" t="s">
        <v>45</v>
      </c>
      <c r="C954" s="12" t="s">
        <v>250</v>
      </c>
      <c r="D954" s="17" t="s">
        <v>251</v>
      </c>
      <c r="E954" s="17"/>
      <c r="F954" s="13" t="n">
        <v>0</v>
      </c>
      <c r="G954" s="13" t="n">
        <v>20</v>
      </c>
      <c r="H954" s="18" t="n">
        <f aca="false">N(G954)-N(F954)</f>
        <v>20</v>
      </c>
      <c r="I954" s="13"/>
    </row>
    <row r="955" customFormat="false" ht="15" hidden="false" customHeight="false" outlineLevel="0" collapsed="false">
      <c r="B955" s="12" t="s">
        <v>45</v>
      </c>
      <c r="C955" s="12" t="s">
        <v>148</v>
      </c>
      <c r="D955" s="17" t="s">
        <v>149</v>
      </c>
      <c r="E955" s="17" t="s">
        <v>68</v>
      </c>
      <c r="F955" s="13" t="n">
        <v>70</v>
      </c>
      <c r="G955" s="13" t="n">
        <v>68</v>
      </c>
      <c r="H955" s="18" t="n">
        <f aca="false">N(G955)-N(F955)</f>
        <v>-2</v>
      </c>
      <c r="I955" s="13" t="n">
        <v>70</v>
      </c>
    </row>
    <row r="956" customFormat="false" ht="15" hidden="false" customHeight="false" outlineLevel="0" collapsed="false">
      <c r="B956" s="12" t="s">
        <v>45</v>
      </c>
      <c r="C956" s="12" t="s">
        <v>347</v>
      </c>
      <c r="D956" s="17" t="s">
        <v>348</v>
      </c>
      <c r="E956" s="17" t="s">
        <v>94</v>
      </c>
      <c r="F956" s="13" t="n">
        <v>85</v>
      </c>
      <c r="G956" s="13" t="n">
        <v>72</v>
      </c>
      <c r="H956" s="18" t="n">
        <f aca="false">N(G956)-N(F956)</f>
        <v>-13</v>
      </c>
      <c r="I956" s="13" t="n">
        <v>950</v>
      </c>
    </row>
    <row r="957" customFormat="false" ht="15" hidden="false" customHeight="false" outlineLevel="0" collapsed="false">
      <c r="B957" s="12" t="s">
        <v>45</v>
      </c>
      <c r="C957" s="12" t="s">
        <v>350</v>
      </c>
      <c r="D957" s="17" t="s">
        <v>351</v>
      </c>
      <c r="E957" s="17" t="s">
        <v>68</v>
      </c>
      <c r="F957" s="13" t="n">
        <v>10</v>
      </c>
      <c r="G957" s="13" t="n">
        <v>0</v>
      </c>
      <c r="H957" s="18" t="n">
        <f aca="false">N(G957)-N(F957)</f>
        <v>-10</v>
      </c>
      <c r="I957" s="13" t="n">
        <v>10</v>
      </c>
    </row>
    <row r="958" customFormat="false" ht="15" hidden="false" customHeight="false" outlineLevel="0" collapsed="false">
      <c r="B958" s="12" t="s">
        <v>45</v>
      </c>
      <c r="C958" s="12" t="s">
        <v>123</v>
      </c>
      <c r="D958" s="17" t="s">
        <v>124</v>
      </c>
      <c r="E958" s="17"/>
      <c r="F958" s="13" t="n">
        <v>450</v>
      </c>
      <c r="G958" s="13" t="n">
        <v>411</v>
      </c>
      <c r="H958" s="18" t="n">
        <f aca="false">N(G958)-N(F958)</f>
        <v>-39</v>
      </c>
      <c r="I958" s="13"/>
    </row>
    <row r="959" customFormat="false" ht="15" hidden="false" customHeight="false" outlineLevel="0" collapsed="false">
      <c r="B959" s="12" t="s">
        <v>45</v>
      </c>
      <c r="C959" s="12" t="s">
        <v>105</v>
      </c>
      <c r="D959" s="17" t="s">
        <v>106</v>
      </c>
      <c r="E959" s="17"/>
      <c r="F959" s="13" t="n">
        <v>0</v>
      </c>
      <c r="G959" s="13" t="n">
        <v>20</v>
      </c>
      <c r="H959" s="18" t="n">
        <f aca="false">N(G959)-N(F959)</f>
        <v>20</v>
      </c>
      <c r="I959" s="13"/>
    </row>
    <row r="960" customFormat="false" ht="15" hidden="false" customHeight="false" outlineLevel="0" collapsed="false">
      <c r="B960" s="12" t="s">
        <v>45</v>
      </c>
      <c r="C960" s="12" t="s">
        <v>107</v>
      </c>
      <c r="D960" s="17" t="s">
        <v>108</v>
      </c>
      <c r="E960" s="17"/>
      <c r="F960" s="13" t="n">
        <v>0</v>
      </c>
      <c r="G960" s="13" t="n">
        <v>6</v>
      </c>
      <c r="H960" s="18" t="n">
        <f aca="false">N(G960)-N(F960)</f>
        <v>6</v>
      </c>
      <c r="I960" s="13"/>
    </row>
    <row r="961" customFormat="false" ht="15" hidden="false" customHeight="false" outlineLevel="0" collapsed="false">
      <c r="B961" s="12" t="s">
        <v>45</v>
      </c>
      <c r="C961" s="12" t="s">
        <v>307</v>
      </c>
      <c r="D961" s="17" t="s">
        <v>308</v>
      </c>
      <c r="E961" s="17" t="s">
        <v>68</v>
      </c>
      <c r="F961" s="13" t="n">
        <v>30</v>
      </c>
      <c r="G961" s="13" t="n">
        <v>0</v>
      </c>
      <c r="H961" s="18" t="n">
        <f aca="false">N(G961)-N(F961)</f>
        <v>-30</v>
      </c>
      <c r="I961" s="13" t="n">
        <v>30</v>
      </c>
    </row>
    <row r="962" customFormat="false" ht="15" hidden="false" customHeight="false" outlineLevel="0" collapsed="false">
      <c r="B962" s="12" t="s">
        <v>45</v>
      </c>
      <c r="C962" s="12" t="s">
        <v>356</v>
      </c>
      <c r="D962" s="17" t="s">
        <v>357</v>
      </c>
      <c r="E962" s="17"/>
      <c r="F962" s="13" t="n">
        <v>0</v>
      </c>
      <c r="G962" s="13" t="n">
        <v>4</v>
      </c>
      <c r="H962" s="18" t="n">
        <f aca="false">N(G962)-N(F962)</f>
        <v>4</v>
      </c>
      <c r="I962" s="13"/>
    </row>
    <row r="963" customFormat="false" ht="15" hidden="false" customHeight="false" outlineLevel="0" collapsed="false">
      <c r="B963" s="12" t="s">
        <v>45</v>
      </c>
      <c r="C963" s="12" t="s">
        <v>150</v>
      </c>
      <c r="D963" s="17" t="s">
        <v>151</v>
      </c>
      <c r="E963" s="17"/>
      <c r="F963" s="13" t="n">
        <v>0</v>
      </c>
      <c r="G963" s="13" t="n">
        <v>28</v>
      </c>
      <c r="H963" s="18" t="n">
        <f aca="false">N(G963)-N(F963)</f>
        <v>28</v>
      </c>
      <c r="I963" s="13"/>
    </row>
    <row r="964" customFormat="false" ht="15" hidden="false" customHeight="false" outlineLevel="0" collapsed="false">
      <c r="B964" s="12" t="s">
        <v>45</v>
      </c>
      <c r="C964" s="12" t="s">
        <v>184</v>
      </c>
      <c r="D964" s="17" t="s">
        <v>185</v>
      </c>
      <c r="E964" s="17" t="s">
        <v>68</v>
      </c>
      <c r="F964" s="13" t="n">
        <v>17</v>
      </c>
      <c r="G964" s="13" t="n">
        <v>4</v>
      </c>
      <c r="H964" s="18" t="n">
        <f aca="false">N(G964)-N(F964)</f>
        <v>-13</v>
      </c>
      <c r="I964" s="13" t="n">
        <v>17</v>
      </c>
    </row>
    <row r="965" customFormat="false" ht="15" hidden="false" customHeight="false" outlineLevel="0" collapsed="false">
      <c r="B965" s="12" t="s">
        <v>45</v>
      </c>
      <c r="C965" s="12" t="s">
        <v>252</v>
      </c>
      <c r="D965" s="17" t="s">
        <v>253</v>
      </c>
      <c r="E965" s="17"/>
      <c r="F965" s="13" t="n">
        <v>0</v>
      </c>
      <c r="G965" s="13" t="n">
        <v>18</v>
      </c>
      <c r="H965" s="18" t="n">
        <f aca="false">N(G965)-N(F965)</f>
        <v>18</v>
      </c>
      <c r="I965" s="13"/>
    </row>
    <row r="966" customFormat="false" ht="15" hidden="false" customHeight="false" outlineLevel="0" collapsed="false">
      <c r="B966" s="12" t="s">
        <v>45</v>
      </c>
      <c r="C966" s="12" t="s">
        <v>152</v>
      </c>
      <c r="D966" s="17" t="s">
        <v>153</v>
      </c>
      <c r="E966" s="17"/>
      <c r="F966" s="13" t="n">
        <v>0</v>
      </c>
      <c r="G966" s="13" t="n">
        <v>23</v>
      </c>
      <c r="H966" s="18" t="n">
        <f aca="false">N(G966)-N(F966)</f>
        <v>23</v>
      </c>
      <c r="I966" s="13"/>
    </row>
    <row r="967" customFormat="false" ht="15" hidden="false" customHeight="false" outlineLevel="0" collapsed="false">
      <c r="B967" s="12" t="s">
        <v>45</v>
      </c>
      <c r="C967" s="12" t="s">
        <v>155</v>
      </c>
      <c r="D967" s="17" t="s">
        <v>156</v>
      </c>
      <c r="E967" s="17"/>
      <c r="F967" s="13" t="n">
        <v>0</v>
      </c>
      <c r="G967" s="13" t="n">
        <v>19</v>
      </c>
      <c r="H967" s="18" t="n">
        <f aca="false">N(G967)-N(F967)</f>
        <v>19</v>
      </c>
      <c r="I967" s="13"/>
    </row>
    <row r="968" customFormat="false" ht="15" hidden="false" customHeight="false" outlineLevel="0" collapsed="false">
      <c r="B968" s="12" t="s">
        <v>45</v>
      </c>
      <c r="C968" s="12" t="s">
        <v>361</v>
      </c>
      <c r="D968" s="17" t="s">
        <v>362</v>
      </c>
      <c r="E968" s="17"/>
      <c r="F968" s="13" t="n">
        <v>0</v>
      </c>
      <c r="G968" s="13" t="n">
        <v>1</v>
      </c>
      <c r="H968" s="18" t="n">
        <f aca="false">N(G968)-N(F968)</f>
        <v>1</v>
      </c>
      <c r="I968" s="13"/>
    </row>
    <row r="969" customFormat="false" ht="15" hidden="false" customHeight="false" outlineLevel="0" collapsed="false">
      <c r="B969" s="12" t="s">
        <v>45</v>
      </c>
      <c r="C969" s="12" t="s">
        <v>157</v>
      </c>
      <c r="D969" s="17" t="s">
        <v>158</v>
      </c>
      <c r="E969" s="17" t="s">
        <v>68</v>
      </c>
      <c r="F969" s="13" t="n">
        <v>29</v>
      </c>
      <c r="G969" s="13" t="n">
        <v>23</v>
      </c>
      <c r="H969" s="18" t="n">
        <f aca="false">N(G969)-N(F969)</f>
        <v>-6</v>
      </c>
      <c r="I969" s="13" t="n">
        <v>29</v>
      </c>
    </row>
    <row r="970" customFormat="false" ht="15" hidden="false" customHeight="false" outlineLevel="0" collapsed="false">
      <c r="B970" s="12" t="s">
        <v>45</v>
      </c>
      <c r="C970" s="12" t="s">
        <v>478</v>
      </c>
      <c r="D970" s="17" t="s">
        <v>479</v>
      </c>
      <c r="E970" s="17"/>
      <c r="F970" s="13" t="n">
        <v>0</v>
      </c>
      <c r="G970" s="13" t="n">
        <v>3</v>
      </c>
      <c r="H970" s="18" t="n">
        <f aca="false">N(G970)-N(F970)</f>
        <v>3</v>
      </c>
      <c r="I970" s="13"/>
    </row>
    <row r="971" customFormat="false" ht="15" hidden="false" customHeight="false" outlineLevel="0" collapsed="false">
      <c r="B971" s="12" t="s">
        <v>45</v>
      </c>
      <c r="C971" s="12" t="s">
        <v>218</v>
      </c>
      <c r="D971" s="17" t="s">
        <v>219</v>
      </c>
      <c r="E971" s="17" t="s">
        <v>68</v>
      </c>
      <c r="F971" s="13" t="n">
        <v>12</v>
      </c>
      <c r="G971" s="13" t="n">
        <v>5</v>
      </c>
      <c r="H971" s="18" t="n">
        <f aca="false">N(G971)-N(F971)</f>
        <v>-7</v>
      </c>
      <c r="I971" s="13" t="n">
        <v>12</v>
      </c>
    </row>
    <row r="972" customFormat="false" ht="15" hidden="false" customHeight="false" outlineLevel="0" collapsed="false">
      <c r="B972" s="12" t="s">
        <v>45</v>
      </c>
      <c r="C972" s="12" t="s">
        <v>221</v>
      </c>
      <c r="D972" s="17" t="s">
        <v>222</v>
      </c>
      <c r="E972" s="17" t="s">
        <v>68</v>
      </c>
      <c r="F972" s="13" t="n">
        <v>2</v>
      </c>
      <c r="G972" s="13" t="n">
        <v>0</v>
      </c>
      <c r="H972" s="18" t="n">
        <f aca="false">N(G972)-N(F972)</f>
        <v>-2</v>
      </c>
      <c r="I972" s="13" t="n">
        <v>2</v>
      </c>
    </row>
    <row r="973" customFormat="false" ht="15" hidden="false" customHeight="false" outlineLevel="0" collapsed="false">
      <c r="B973" s="12" t="s">
        <v>45</v>
      </c>
      <c r="C973" s="12" t="s">
        <v>159</v>
      </c>
      <c r="D973" s="17" t="s">
        <v>160</v>
      </c>
      <c r="E973" s="17" t="s">
        <v>68</v>
      </c>
      <c r="F973" s="13" t="n">
        <v>23</v>
      </c>
      <c r="G973" s="13" t="n">
        <v>11</v>
      </c>
      <c r="H973" s="18" t="n">
        <f aca="false">N(G973)-N(F973)</f>
        <v>-12</v>
      </c>
      <c r="I973" s="13" t="n">
        <v>23</v>
      </c>
    </row>
    <row r="974" customFormat="false" ht="15" hidden="false" customHeight="false" outlineLevel="0" collapsed="false">
      <c r="B974" s="12" t="s">
        <v>45</v>
      </c>
      <c r="C974" s="12" t="s">
        <v>312</v>
      </c>
      <c r="D974" s="17" t="s">
        <v>160</v>
      </c>
      <c r="E974" s="17" t="s">
        <v>68</v>
      </c>
      <c r="F974" s="13" t="n">
        <v>4</v>
      </c>
      <c r="G974" s="13" t="n">
        <v>1</v>
      </c>
      <c r="H974" s="18" t="n">
        <f aca="false">N(G974)-N(F974)</f>
        <v>-3</v>
      </c>
      <c r="I974" s="13" t="n">
        <v>4</v>
      </c>
    </row>
    <row r="975" customFormat="false" ht="15" hidden="false" customHeight="false" outlineLevel="0" collapsed="false">
      <c r="B975" s="12" t="s">
        <v>45</v>
      </c>
      <c r="C975" s="12" t="s">
        <v>314</v>
      </c>
      <c r="D975" s="17" t="s">
        <v>160</v>
      </c>
      <c r="E975" s="17" t="s">
        <v>68</v>
      </c>
      <c r="F975" s="13" t="n">
        <v>1</v>
      </c>
      <c r="G975" s="13" t="n">
        <v>0</v>
      </c>
      <c r="H975" s="18" t="n">
        <f aca="false">N(G975)-N(F975)</f>
        <v>-1</v>
      </c>
      <c r="I975" s="13" t="n">
        <v>6</v>
      </c>
    </row>
    <row r="976" customFormat="false" ht="15" hidden="false" customHeight="false" outlineLevel="0" collapsed="false">
      <c r="B976" s="12" t="s">
        <v>45</v>
      </c>
      <c r="C976" s="12" t="s">
        <v>125</v>
      </c>
      <c r="D976" s="17" t="s">
        <v>126</v>
      </c>
      <c r="E976" s="17" t="s">
        <v>68</v>
      </c>
      <c r="F976" s="13" t="n">
        <v>9</v>
      </c>
      <c r="G976" s="13" t="n">
        <v>9</v>
      </c>
      <c r="H976" s="18" t="n">
        <f aca="false">N(G976)-N(F976)</f>
        <v>0</v>
      </c>
      <c r="I976" s="13" t="n">
        <v>9</v>
      </c>
    </row>
    <row r="977" customFormat="false" ht="15" hidden="false" customHeight="false" outlineLevel="0" collapsed="false">
      <c r="B977" s="12" t="s">
        <v>45</v>
      </c>
      <c r="C977" s="12" t="s">
        <v>127</v>
      </c>
      <c r="D977" s="17" t="s">
        <v>128</v>
      </c>
      <c r="E977" s="17"/>
      <c r="F977" s="13" t="n">
        <v>0</v>
      </c>
      <c r="G977" s="13" t="n">
        <v>12</v>
      </c>
      <c r="H977" s="18" t="n">
        <f aca="false">N(G977)-N(F977)</f>
        <v>12</v>
      </c>
      <c r="I977" s="13"/>
    </row>
    <row r="978" customFormat="false" ht="15" hidden="false" customHeight="false" outlineLevel="0" collapsed="false">
      <c r="B978" s="12" t="s">
        <v>45</v>
      </c>
      <c r="C978" s="12" t="s">
        <v>258</v>
      </c>
      <c r="D978" s="17" t="s">
        <v>259</v>
      </c>
      <c r="E978" s="17" t="s">
        <v>68</v>
      </c>
      <c r="F978" s="13" t="n">
        <v>20</v>
      </c>
      <c r="G978" s="13" t="n">
        <v>17</v>
      </c>
      <c r="H978" s="18" t="n">
        <f aca="false">N(G978)-N(F978)</f>
        <v>-3</v>
      </c>
      <c r="I978" s="13" t="n">
        <v>20</v>
      </c>
    </row>
    <row r="979" customFormat="false" ht="15" hidden="false" customHeight="false" outlineLevel="0" collapsed="false">
      <c r="B979" s="12" t="s">
        <v>45</v>
      </c>
      <c r="C979" s="12" t="s">
        <v>260</v>
      </c>
      <c r="D979" s="17" t="s">
        <v>261</v>
      </c>
      <c r="E979" s="17"/>
      <c r="F979" s="13" t="n">
        <v>11</v>
      </c>
      <c r="G979" s="13" t="n">
        <v>0</v>
      </c>
      <c r="H979" s="18" t="n">
        <f aca="false">N(G979)-N(F979)</f>
        <v>-11</v>
      </c>
      <c r="I979" s="13"/>
    </row>
    <row r="980" customFormat="false" ht="15" hidden="false" customHeight="false" outlineLevel="0" collapsed="false">
      <c r="B980" s="12" t="s">
        <v>45</v>
      </c>
      <c r="C980" s="12" t="s">
        <v>224</v>
      </c>
      <c r="D980" s="17" t="s">
        <v>225</v>
      </c>
      <c r="E980" s="17"/>
      <c r="F980" s="13" t="n">
        <v>0</v>
      </c>
      <c r="G980" s="13" t="n">
        <v>11</v>
      </c>
      <c r="H980" s="18" t="n">
        <f aca="false">N(G980)-N(F980)</f>
        <v>11</v>
      </c>
      <c r="I980" s="13"/>
    </row>
    <row r="981" customFormat="false" ht="15" hidden="false" customHeight="false" outlineLevel="0" collapsed="false">
      <c r="B981" s="12" t="s">
        <v>45</v>
      </c>
      <c r="C981" s="12" t="s">
        <v>364</v>
      </c>
      <c r="D981" s="17" t="s">
        <v>365</v>
      </c>
      <c r="E981" s="17" t="s">
        <v>68</v>
      </c>
      <c r="F981" s="13" t="n">
        <v>10</v>
      </c>
      <c r="G981" s="13" t="n">
        <v>3</v>
      </c>
      <c r="H981" s="18" t="n">
        <f aca="false">N(G981)-N(F981)</f>
        <v>-7</v>
      </c>
      <c r="I981" s="13" t="n">
        <v>10</v>
      </c>
    </row>
    <row r="982" customFormat="false" ht="15" hidden="false" customHeight="false" outlineLevel="0" collapsed="false">
      <c r="B982" s="12" t="s">
        <v>45</v>
      </c>
      <c r="C982" s="12" t="s">
        <v>380</v>
      </c>
      <c r="D982" s="17" t="s">
        <v>381</v>
      </c>
      <c r="E982" s="17"/>
      <c r="F982" s="13" t="n">
        <v>20</v>
      </c>
      <c r="G982" s="13" t="n">
        <v>0</v>
      </c>
      <c r="H982" s="18" t="n">
        <f aca="false">N(G982)-N(F982)</f>
        <v>-20</v>
      </c>
      <c r="I982" s="13"/>
    </row>
    <row r="983" customFormat="false" ht="15" hidden="false" customHeight="false" outlineLevel="0" collapsed="false">
      <c r="B983" s="12" t="s">
        <v>45</v>
      </c>
      <c r="C983" s="12" t="s">
        <v>277</v>
      </c>
      <c r="D983" s="17" t="s">
        <v>278</v>
      </c>
      <c r="E983" s="17"/>
      <c r="F983" s="13" t="n">
        <v>20</v>
      </c>
      <c r="G983" s="13" t="n">
        <v>5</v>
      </c>
      <c r="H983" s="18" t="n">
        <f aca="false">N(G983)-N(F983)</f>
        <v>-15</v>
      </c>
      <c r="I983" s="13"/>
    </row>
    <row r="984" customFormat="false" ht="15" hidden="false" customHeight="false" outlineLevel="0" collapsed="false">
      <c r="B984" s="12" t="s">
        <v>45</v>
      </c>
      <c r="C984" s="12" t="s">
        <v>161</v>
      </c>
      <c r="D984" s="17" t="s">
        <v>162</v>
      </c>
      <c r="E984" s="17" t="s">
        <v>94</v>
      </c>
      <c r="F984" s="13" t="n">
        <v>0</v>
      </c>
      <c r="G984" s="13" t="n">
        <v>876</v>
      </c>
      <c r="H984" s="18" t="n">
        <f aca="false">N(G984)-N(F984)</f>
        <v>876</v>
      </c>
      <c r="I984" s="13" t="n">
        <v>531.9149</v>
      </c>
    </row>
    <row r="985" customFormat="false" ht="15" hidden="false" customHeight="false" outlineLevel="0" collapsed="false">
      <c r="B985" s="12" t="s">
        <v>45</v>
      </c>
      <c r="C985" s="12" t="s">
        <v>263</v>
      </c>
      <c r="D985" s="17" t="s">
        <v>264</v>
      </c>
      <c r="E985" s="17"/>
      <c r="F985" s="13" t="n">
        <v>0</v>
      </c>
      <c r="G985" s="13" t="n">
        <v>12</v>
      </c>
      <c r="H985" s="18" t="n">
        <f aca="false">N(G985)-N(F985)</f>
        <v>12</v>
      </c>
      <c r="I985" s="13"/>
    </row>
    <row r="986" customFormat="false" ht="15" hidden="false" customHeight="false" outlineLevel="0" collapsed="false">
      <c r="B986" s="12" t="s">
        <v>45</v>
      </c>
      <c r="C986" s="12" t="s">
        <v>265</v>
      </c>
      <c r="D986" s="17" t="s">
        <v>266</v>
      </c>
      <c r="E986" s="17"/>
      <c r="F986" s="13" t="n">
        <v>0</v>
      </c>
      <c r="G986" s="13" t="n">
        <v>7</v>
      </c>
      <c r="H986" s="18" t="n">
        <f aca="false">N(G986)-N(F986)</f>
        <v>7</v>
      </c>
      <c r="I986" s="13"/>
    </row>
    <row r="987" customFormat="false" ht="15" hidden="false" customHeight="false" outlineLevel="0" collapsed="false">
      <c r="B987" s="12" t="s">
        <v>45</v>
      </c>
      <c r="C987" s="12" t="s">
        <v>226</v>
      </c>
      <c r="D987" s="17" t="s">
        <v>227</v>
      </c>
      <c r="E987" s="17" t="s">
        <v>68</v>
      </c>
      <c r="F987" s="13" t="n">
        <v>6</v>
      </c>
      <c r="G987" s="13" t="n">
        <v>6</v>
      </c>
      <c r="H987" s="18" t="n">
        <f aca="false">N(G987)-N(F987)</f>
        <v>0</v>
      </c>
      <c r="I987" s="13" t="n">
        <v>5</v>
      </c>
    </row>
    <row r="988" customFormat="false" ht="15" hidden="false" customHeight="false" outlineLevel="0" collapsed="false">
      <c r="B988" s="12" t="s">
        <v>46</v>
      </c>
      <c r="C988" s="12" t="s">
        <v>66</v>
      </c>
      <c r="D988" s="17" t="s">
        <v>67</v>
      </c>
      <c r="E988" s="17"/>
      <c r="F988" s="13" t="n">
        <v>42</v>
      </c>
      <c r="G988" s="13" t="n">
        <v>16</v>
      </c>
      <c r="H988" s="18" t="n">
        <f aca="false">N(G988)-N(F988)</f>
        <v>-26</v>
      </c>
      <c r="I988" s="13"/>
    </row>
    <row r="989" customFormat="false" ht="15" hidden="false" customHeight="false" outlineLevel="0" collapsed="false">
      <c r="B989" s="12" t="s">
        <v>46</v>
      </c>
      <c r="C989" s="12" t="s">
        <v>187</v>
      </c>
      <c r="D989" s="17" t="s">
        <v>188</v>
      </c>
      <c r="E989" s="17" t="s">
        <v>68</v>
      </c>
      <c r="F989" s="13" t="n">
        <v>18</v>
      </c>
      <c r="G989" s="13" t="n">
        <v>9</v>
      </c>
      <c r="H989" s="18" t="n">
        <f aca="false">N(G989)-N(F989)</f>
        <v>-9</v>
      </c>
      <c r="I989" s="13" t="n">
        <v>18</v>
      </c>
    </row>
    <row r="990" customFormat="false" ht="15" hidden="false" customHeight="false" outlineLevel="0" collapsed="false">
      <c r="B990" s="12" t="s">
        <v>46</v>
      </c>
      <c r="C990" s="12" t="s">
        <v>484</v>
      </c>
      <c r="D990" s="17" t="s">
        <v>485</v>
      </c>
      <c r="E990" s="17" t="s">
        <v>68</v>
      </c>
      <c r="F990" s="13" t="n">
        <v>20</v>
      </c>
      <c r="G990" s="13" t="n">
        <v>6</v>
      </c>
      <c r="H990" s="18" t="n">
        <f aca="false">N(G990)-N(F990)</f>
        <v>-14</v>
      </c>
      <c r="I990" s="13" t="n">
        <v>20</v>
      </c>
    </row>
    <row r="991" customFormat="false" ht="15" hidden="false" customHeight="false" outlineLevel="0" collapsed="false">
      <c r="B991" s="12" t="s">
        <v>46</v>
      </c>
      <c r="C991" s="12" t="s">
        <v>410</v>
      </c>
      <c r="D991" s="17" t="s">
        <v>411</v>
      </c>
      <c r="E991" s="17" t="s">
        <v>94</v>
      </c>
      <c r="F991" s="13" t="n">
        <v>100</v>
      </c>
      <c r="G991" s="13" t="n">
        <v>0</v>
      </c>
      <c r="H991" s="18" t="n">
        <f aca="false">N(G991)-N(F991)</f>
        <v>-100</v>
      </c>
      <c r="I991" s="13" t="n">
        <v>500</v>
      </c>
    </row>
    <row r="992" customFormat="false" ht="15" hidden="false" customHeight="false" outlineLevel="0" collapsed="false">
      <c r="B992" s="12" t="s">
        <v>46</v>
      </c>
      <c r="C992" s="12" t="s">
        <v>228</v>
      </c>
      <c r="D992" s="17" t="s">
        <v>229</v>
      </c>
      <c r="E992" s="17" t="s">
        <v>68</v>
      </c>
      <c r="F992" s="13" t="n">
        <v>10</v>
      </c>
      <c r="G992" s="13" t="n">
        <v>5</v>
      </c>
      <c r="H992" s="18" t="n">
        <f aca="false">N(G992)-N(F992)</f>
        <v>-5</v>
      </c>
      <c r="I992" s="13" t="n">
        <v>10</v>
      </c>
    </row>
    <row r="993" customFormat="false" ht="15" hidden="false" customHeight="false" outlineLevel="0" collapsed="false">
      <c r="B993" s="12" t="s">
        <v>46</v>
      </c>
      <c r="C993" s="12" t="s">
        <v>268</v>
      </c>
      <c r="D993" s="17" t="s">
        <v>269</v>
      </c>
      <c r="E993" s="17"/>
      <c r="F993" s="13" t="n">
        <v>22</v>
      </c>
      <c r="G993" s="13" t="n">
        <v>9</v>
      </c>
      <c r="H993" s="18" t="n">
        <f aca="false">N(G993)-N(F993)</f>
        <v>-13</v>
      </c>
      <c r="I993" s="13"/>
    </row>
    <row r="994" customFormat="false" ht="15" hidden="false" customHeight="false" outlineLevel="0" collapsed="false">
      <c r="B994" s="12" t="s">
        <v>46</v>
      </c>
      <c r="C994" s="12" t="s">
        <v>271</v>
      </c>
      <c r="D994" s="17" t="s">
        <v>272</v>
      </c>
      <c r="E994" s="17"/>
      <c r="F994" s="13" t="n">
        <v>38</v>
      </c>
      <c r="G994" s="13" t="n">
        <v>16</v>
      </c>
      <c r="H994" s="18" t="n">
        <f aca="false">N(G994)-N(F994)</f>
        <v>-22</v>
      </c>
      <c r="I994" s="13"/>
    </row>
    <row r="995" customFormat="false" ht="15" hidden="false" customHeight="false" outlineLevel="0" collapsed="false">
      <c r="B995" s="12" t="s">
        <v>46</v>
      </c>
      <c r="C995" s="12" t="s">
        <v>282</v>
      </c>
      <c r="D995" s="17" t="s">
        <v>283</v>
      </c>
      <c r="E995" s="17"/>
      <c r="F995" s="13" t="n">
        <v>0</v>
      </c>
      <c r="G995" s="13" t="n">
        <v>3</v>
      </c>
      <c r="H995" s="18" t="n">
        <f aca="false">N(G995)-N(F995)</f>
        <v>3</v>
      </c>
      <c r="I995" s="13"/>
    </row>
    <row r="996" customFormat="false" ht="15" hidden="false" customHeight="false" outlineLevel="0" collapsed="false">
      <c r="B996" s="12" t="s">
        <v>46</v>
      </c>
      <c r="C996" s="12" t="s">
        <v>129</v>
      </c>
      <c r="D996" s="17" t="s">
        <v>130</v>
      </c>
      <c r="E996" s="17"/>
      <c r="F996" s="13" t="n">
        <v>30</v>
      </c>
      <c r="G996" s="13" t="n">
        <v>10</v>
      </c>
      <c r="H996" s="18" t="n">
        <f aca="false">N(G996)-N(F996)</f>
        <v>-20</v>
      </c>
      <c r="I996" s="13"/>
    </row>
    <row r="997" customFormat="false" ht="15" hidden="false" customHeight="false" outlineLevel="0" collapsed="false">
      <c r="B997" s="12" t="s">
        <v>46</v>
      </c>
      <c r="C997" s="12" t="s">
        <v>274</v>
      </c>
      <c r="D997" s="17" t="s">
        <v>275</v>
      </c>
      <c r="E997" s="17" t="s">
        <v>68</v>
      </c>
      <c r="F997" s="13" t="n">
        <v>0</v>
      </c>
      <c r="G997" s="13" t="n">
        <v>0</v>
      </c>
      <c r="H997" s="18" t="n">
        <f aca="false">N(G997)-N(F997)</f>
        <v>0</v>
      </c>
      <c r="I997" s="13" t="n">
        <v>75</v>
      </c>
    </row>
    <row r="998" customFormat="false" ht="15" hidden="false" customHeight="false" outlineLevel="0" collapsed="false">
      <c r="B998" s="12" t="s">
        <v>46</v>
      </c>
      <c r="C998" s="12" t="s">
        <v>231</v>
      </c>
      <c r="D998" s="17" t="s">
        <v>232</v>
      </c>
      <c r="E998" s="17"/>
      <c r="F998" s="13" t="n">
        <v>0</v>
      </c>
      <c r="G998" s="13" t="n">
        <v>2</v>
      </c>
      <c r="H998" s="18" t="n">
        <f aca="false">N(G998)-N(F998)</f>
        <v>2</v>
      </c>
      <c r="I998" s="13"/>
    </row>
    <row r="999" customFormat="false" ht="15" hidden="false" customHeight="false" outlineLevel="0" collapsed="false">
      <c r="B999" s="12" t="s">
        <v>46</v>
      </c>
      <c r="C999" s="12" t="s">
        <v>285</v>
      </c>
      <c r="D999" s="17" t="s">
        <v>286</v>
      </c>
      <c r="E999" s="17"/>
      <c r="F999" s="13" t="n">
        <v>0</v>
      </c>
      <c r="G999" s="13" t="n">
        <v>10</v>
      </c>
      <c r="H999" s="18" t="n">
        <f aca="false">N(G999)-N(F999)</f>
        <v>10</v>
      </c>
      <c r="I999" s="13"/>
    </row>
    <row r="1000" customFormat="false" ht="15" hidden="false" customHeight="false" outlineLevel="0" collapsed="false">
      <c r="B1000" s="12" t="s">
        <v>46</v>
      </c>
      <c r="C1000" s="12" t="s">
        <v>234</v>
      </c>
      <c r="D1000" s="17" t="s">
        <v>235</v>
      </c>
      <c r="E1000" s="17" t="s">
        <v>68</v>
      </c>
      <c r="F1000" s="13" t="n">
        <v>26</v>
      </c>
      <c r="G1000" s="13" t="n">
        <v>13</v>
      </c>
      <c r="H1000" s="18" t="n">
        <f aca="false">N(G1000)-N(F1000)</f>
        <v>-13</v>
      </c>
      <c r="I1000" s="13" t="n">
        <v>26</v>
      </c>
    </row>
    <row r="1001" customFormat="false" ht="15" hidden="false" customHeight="false" outlineLevel="0" collapsed="false">
      <c r="B1001" s="12" t="s">
        <v>46</v>
      </c>
      <c r="C1001" s="12" t="s">
        <v>443</v>
      </c>
      <c r="D1001" s="17" t="s">
        <v>444</v>
      </c>
      <c r="E1001" s="17" t="s">
        <v>68</v>
      </c>
      <c r="F1001" s="13" t="n">
        <v>0</v>
      </c>
      <c r="G1001" s="13" t="n">
        <v>3</v>
      </c>
      <c r="H1001" s="18" t="n">
        <f aca="false">N(G1001)-N(F1001)</f>
        <v>3</v>
      </c>
      <c r="I1001" s="13" t="n">
        <v>3</v>
      </c>
    </row>
    <row r="1002" customFormat="false" ht="15" hidden="false" customHeight="false" outlineLevel="0" collapsed="false">
      <c r="B1002" s="12" t="s">
        <v>46</v>
      </c>
      <c r="C1002" s="12" t="s">
        <v>70</v>
      </c>
      <c r="D1002" s="17" t="s">
        <v>71</v>
      </c>
      <c r="E1002" s="17" t="s">
        <v>68</v>
      </c>
      <c r="F1002" s="13" t="n">
        <v>200</v>
      </c>
      <c r="G1002" s="13" t="n">
        <v>321</v>
      </c>
      <c r="H1002" s="18" t="n">
        <f aca="false">N(G1002)-N(F1002)</f>
        <v>121</v>
      </c>
      <c r="I1002" s="13" t="n">
        <v>200</v>
      </c>
    </row>
    <row r="1003" customFormat="false" ht="15" hidden="false" customHeight="false" outlineLevel="0" collapsed="false">
      <c r="B1003" s="12" t="s">
        <v>46</v>
      </c>
      <c r="C1003" s="12" t="s">
        <v>72</v>
      </c>
      <c r="D1003" s="17" t="s">
        <v>73</v>
      </c>
      <c r="E1003" s="17"/>
      <c r="F1003" s="13" t="n">
        <v>96</v>
      </c>
      <c r="G1003" s="13" t="n">
        <v>88</v>
      </c>
      <c r="H1003" s="18" t="n">
        <f aca="false">N(G1003)-N(F1003)</f>
        <v>-8</v>
      </c>
      <c r="I1003" s="13"/>
    </row>
    <row r="1004" customFormat="false" ht="15" hidden="false" customHeight="false" outlineLevel="0" collapsed="false">
      <c r="B1004" s="12" t="s">
        <v>46</v>
      </c>
      <c r="C1004" s="12" t="s">
        <v>74</v>
      </c>
      <c r="D1004" s="17" t="s">
        <v>75</v>
      </c>
      <c r="E1004" s="17" t="s">
        <v>68</v>
      </c>
      <c r="F1004" s="13" t="n">
        <v>48</v>
      </c>
      <c r="G1004" s="13" t="n">
        <v>44</v>
      </c>
      <c r="H1004" s="18" t="n">
        <f aca="false">N(G1004)-N(F1004)</f>
        <v>-4</v>
      </c>
      <c r="I1004" s="13" t="n">
        <v>48</v>
      </c>
    </row>
    <row r="1005" customFormat="false" ht="15" hidden="false" customHeight="false" outlineLevel="0" collapsed="false">
      <c r="B1005" s="12" t="s">
        <v>46</v>
      </c>
      <c r="C1005" s="12" t="s">
        <v>164</v>
      </c>
      <c r="D1005" s="17" t="s">
        <v>165</v>
      </c>
      <c r="E1005" s="17"/>
      <c r="F1005" s="13" t="n">
        <v>34</v>
      </c>
      <c r="G1005" s="13" t="n">
        <v>40</v>
      </c>
      <c r="H1005" s="18" t="n">
        <f aca="false">N(G1005)-N(F1005)</f>
        <v>6</v>
      </c>
      <c r="I1005" s="13"/>
    </row>
    <row r="1006" customFormat="false" ht="15" hidden="false" customHeight="false" outlineLevel="0" collapsed="false">
      <c r="B1006" s="12" t="s">
        <v>46</v>
      </c>
      <c r="C1006" s="12" t="s">
        <v>167</v>
      </c>
      <c r="D1006" s="17" t="s">
        <v>168</v>
      </c>
      <c r="E1006" s="17" t="s">
        <v>68</v>
      </c>
      <c r="F1006" s="13" t="n">
        <v>12</v>
      </c>
      <c r="G1006" s="13" t="n">
        <v>0</v>
      </c>
      <c r="H1006" s="18" t="n">
        <f aca="false">N(G1006)-N(F1006)</f>
        <v>-12</v>
      </c>
      <c r="I1006" s="13" t="n">
        <v>12</v>
      </c>
    </row>
    <row r="1007" customFormat="false" ht="15" hidden="false" customHeight="false" outlineLevel="0" collapsed="false">
      <c r="B1007" s="12" t="s">
        <v>46</v>
      </c>
      <c r="C1007" s="12" t="s">
        <v>76</v>
      </c>
      <c r="D1007" s="17" t="s">
        <v>77</v>
      </c>
      <c r="E1007" s="17" t="s">
        <v>68</v>
      </c>
      <c r="F1007" s="13" t="n">
        <v>120</v>
      </c>
      <c r="G1007" s="13" t="n">
        <v>78</v>
      </c>
      <c r="H1007" s="18" t="n">
        <f aca="false">N(G1007)-N(F1007)</f>
        <v>-42</v>
      </c>
      <c r="I1007" s="13" t="n">
        <v>120</v>
      </c>
    </row>
    <row r="1008" customFormat="false" ht="15" hidden="false" customHeight="false" outlineLevel="0" collapsed="false">
      <c r="B1008" s="12" t="s">
        <v>46</v>
      </c>
      <c r="C1008" s="12" t="s">
        <v>78</v>
      </c>
      <c r="D1008" s="17" t="s">
        <v>79</v>
      </c>
      <c r="E1008" s="17" t="s">
        <v>68</v>
      </c>
      <c r="F1008" s="13" t="n">
        <v>180</v>
      </c>
      <c r="G1008" s="13" t="n">
        <v>248</v>
      </c>
      <c r="H1008" s="18" t="n">
        <f aca="false">N(G1008)-N(F1008)</f>
        <v>68</v>
      </c>
      <c r="I1008" s="13" t="n">
        <v>180</v>
      </c>
    </row>
    <row r="1009" customFormat="false" ht="15" hidden="false" customHeight="false" outlineLevel="0" collapsed="false">
      <c r="B1009" s="12" t="s">
        <v>46</v>
      </c>
      <c r="C1009" s="12" t="s">
        <v>499</v>
      </c>
      <c r="D1009" s="17" t="s">
        <v>500</v>
      </c>
      <c r="E1009" s="17"/>
      <c r="F1009" s="13" t="n">
        <v>0</v>
      </c>
      <c r="G1009" s="13" t="n">
        <v>3</v>
      </c>
      <c r="H1009" s="18" t="n">
        <f aca="false">N(G1009)-N(F1009)</f>
        <v>3</v>
      </c>
      <c r="I1009" s="13"/>
    </row>
    <row r="1010" customFormat="false" ht="15" hidden="false" customHeight="false" outlineLevel="0" collapsed="false">
      <c r="B1010" s="12" t="s">
        <v>46</v>
      </c>
      <c r="C1010" s="12" t="s">
        <v>288</v>
      </c>
      <c r="D1010" s="17" t="s">
        <v>289</v>
      </c>
      <c r="E1010" s="17" t="s">
        <v>68</v>
      </c>
      <c r="F1010" s="13" t="n">
        <v>20</v>
      </c>
      <c r="G1010" s="13" t="n">
        <v>8</v>
      </c>
      <c r="H1010" s="18" t="n">
        <f aca="false">N(G1010)-N(F1010)</f>
        <v>-12</v>
      </c>
      <c r="I1010" s="13" t="n">
        <v>20</v>
      </c>
    </row>
    <row r="1011" customFormat="false" ht="15" hidden="false" customHeight="false" outlineLevel="0" collapsed="false">
      <c r="B1011" s="12" t="s">
        <v>46</v>
      </c>
      <c r="C1011" s="12" t="s">
        <v>80</v>
      </c>
      <c r="D1011" s="17" t="s">
        <v>81</v>
      </c>
      <c r="E1011" s="17" t="s">
        <v>68</v>
      </c>
      <c r="F1011" s="13" t="n">
        <v>326</v>
      </c>
      <c r="G1011" s="13" t="n">
        <v>302</v>
      </c>
      <c r="H1011" s="18" t="n">
        <f aca="false">N(G1011)-N(F1011)</f>
        <v>-24</v>
      </c>
      <c r="I1011" s="13" t="n">
        <v>326</v>
      </c>
    </row>
    <row r="1012" customFormat="false" ht="15" hidden="false" customHeight="false" outlineLevel="0" collapsed="false">
      <c r="B1012" s="12" t="s">
        <v>46</v>
      </c>
      <c r="C1012" s="12" t="s">
        <v>82</v>
      </c>
      <c r="D1012" s="17" t="s">
        <v>83</v>
      </c>
      <c r="E1012" s="17"/>
      <c r="F1012" s="13" t="n">
        <v>0</v>
      </c>
      <c r="G1012" s="13" t="n">
        <v>7</v>
      </c>
      <c r="H1012" s="18" t="n">
        <f aca="false">N(G1012)-N(F1012)</f>
        <v>7</v>
      </c>
      <c r="I1012" s="13"/>
    </row>
    <row r="1013" customFormat="false" ht="15" hidden="false" customHeight="false" outlineLevel="0" collapsed="false">
      <c r="B1013" s="12" t="s">
        <v>46</v>
      </c>
      <c r="C1013" s="12" t="s">
        <v>190</v>
      </c>
      <c r="D1013" s="17" t="s">
        <v>191</v>
      </c>
      <c r="E1013" s="17" t="s">
        <v>68</v>
      </c>
      <c r="F1013" s="13" t="n">
        <v>15</v>
      </c>
      <c r="G1013" s="13" t="n">
        <v>13</v>
      </c>
      <c r="H1013" s="18" t="n">
        <f aca="false">N(G1013)-N(F1013)</f>
        <v>-2</v>
      </c>
      <c r="I1013" s="13" t="n">
        <v>15</v>
      </c>
    </row>
    <row r="1014" customFormat="false" ht="15" hidden="false" customHeight="false" outlineLevel="0" collapsed="false">
      <c r="B1014" s="12" t="s">
        <v>46</v>
      </c>
      <c r="C1014" s="12" t="s">
        <v>291</v>
      </c>
      <c r="D1014" s="17" t="s">
        <v>292</v>
      </c>
      <c r="E1014" s="17"/>
      <c r="F1014" s="13" t="n">
        <v>0</v>
      </c>
      <c r="G1014" s="13" t="n">
        <v>0</v>
      </c>
      <c r="H1014" s="18" t="n">
        <f aca="false">N(G1014)-N(F1014)</f>
        <v>0</v>
      </c>
      <c r="I1014" s="13"/>
    </row>
    <row r="1015" customFormat="false" ht="15" hidden="false" customHeight="false" outlineLevel="0" collapsed="false">
      <c r="B1015" s="12" t="s">
        <v>46</v>
      </c>
      <c r="C1015" s="12" t="s">
        <v>237</v>
      </c>
      <c r="D1015" s="17" t="s">
        <v>238</v>
      </c>
      <c r="E1015" s="17" t="s">
        <v>68</v>
      </c>
      <c r="F1015" s="13" t="n">
        <v>10</v>
      </c>
      <c r="G1015" s="13" t="n">
        <v>17</v>
      </c>
      <c r="H1015" s="18" t="n">
        <f aca="false">N(G1015)-N(F1015)</f>
        <v>7</v>
      </c>
      <c r="I1015" s="13" t="n">
        <v>10</v>
      </c>
    </row>
    <row r="1016" customFormat="false" ht="15" hidden="false" customHeight="false" outlineLevel="0" collapsed="false">
      <c r="B1016" s="12" t="s">
        <v>46</v>
      </c>
      <c r="C1016" s="12" t="s">
        <v>84</v>
      </c>
      <c r="D1016" s="17" t="s">
        <v>85</v>
      </c>
      <c r="E1016" s="17" t="s">
        <v>68</v>
      </c>
      <c r="F1016" s="13" t="n">
        <v>22</v>
      </c>
      <c r="G1016" s="13" t="n">
        <v>40</v>
      </c>
      <c r="H1016" s="18" t="n">
        <f aca="false">N(G1016)-N(F1016)</f>
        <v>18</v>
      </c>
      <c r="I1016" s="13" t="n">
        <v>22</v>
      </c>
    </row>
    <row r="1017" customFormat="false" ht="15" hidden="false" customHeight="false" outlineLevel="0" collapsed="false">
      <c r="B1017" s="12" t="s">
        <v>46</v>
      </c>
      <c r="C1017" s="12" t="s">
        <v>416</v>
      </c>
      <c r="D1017" s="17" t="s">
        <v>417</v>
      </c>
      <c r="E1017" s="17"/>
      <c r="F1017" s="13" t="n">
        <v>0</v>
      </c>
      <c r="G1017" s="13" t="n">
        <v>7</v>
      </c>
      <c r="H1017" s="18" t="n">
        <f aca="false">N(G1017)-N(F1017)</f>
        <v>7</v>
      </c>
      <c r="I1017" s="13"/>
    </row>
    <row r="1018" customFormat="false" ht="15" hidden="false" customHeight="false" outlineLevel="0" collapsed="false">
      <c r="B1018" s="12" t="s">
        <v>46</v>
      </c>
      <c r="C1018" s="12" t="s">
        <v>193</v>
      </c>
      <c r="D1018" s="17" t="s">
        <v>194</v>
      </c>
      <c r="E1018" s="17" t="s">
        <v>68</v>
      </c>
      <c r="F1018" s="13" t="n">
        <v>15</v>
      </c>
      <c r="G1018" s="13" t="n">
        <v>9</v>
      </c>
      <c r="H1018" s="18" t="n">
        <f aca="false">N(G1018)-N(F1018)</f>
        <v>-6</v>
      </c>
      <c r="I1018" s="13" t="n">
        <v>15</v>
      </c>
    </row>
    <row r="1019" customFormat="false" ht="15" hidden="false" customHeight="false" outlineLevel="0" collapsed="false">
      <c r="B1019" s="12" t="s">
        <v>46</v>
      </c>
      <c r="C1019" s="12" t="s">
        <v>86</v>
      </c>
      <c r="D1019" s="17" t="s">
        <v>87</v>
      </c>
      <c r="E1019" s="17" t="s">
        <v>68</v>
      </c>
      <c r="F1019" s="13" t="n">
        <v>60</v>
      </c>
      <c r="G1019" s="13" t="n">
        <v>16</v>
      </c>
      <c r="H1019" s="18" t="n">
        <f aca="false">N(G1019)-N(F1019)</f>
        <v>-44</v>
      </c>
      <c r="I1019" s="13" t="n">
        <v>60</v>
      </c>
    </row>
    <row r="1020" customFormat="false" ht="15" hidden="false" customHeight="false" outlineLevel="0" collapsed="false">
      <c r="B1020" s="12" t="s">
        <v>46</v>
      </c>
      <c r="C1020" s="12" t="s">
        <v>507</v>
      </c>
      <c r="D1020" s="17" t="s">
        <v>508</v>
      </c>
      <c r="E1020" s="17"/>
      <c r="F1020" s="13" t="n">
        <v>0</v>
      </c>
      <c r="G1020" s="13" t="n">
        <v>6</v>
      </c>
      <c r="H1020" s="18" t="n">
        <f aca="false">N(G1020)-N(F1020)</f>
        <v>6</v>
      </c>
      <c r="I1020" s="13"/>
    </row>
    <row r="1021" customFormat="false" ht="15" hidden="false" customHeight="false" outlineLevel="0" collapsed="false">
      <c r="B1021" s="12" t="s">
        <v>46</v>
      </c>
      <c r="C1021" s="12" t="s">
        <v>132</v>
      </c>
      <c r="D1021" s="17" t="s">
        <v>133</v>
      </c>
      <c r="E1021" s="17" t="s">
        <v>68</v>
      </c>
      <c r="F1021" s="13" t="n">
        <v>41</v>
      </c>
      <c r="G1021" s="13" t="n">
        <v>32</v>
      </c>
      <c r="H1021" s="18" t="n">
        <f aca="false">N(G1021)-N(F1021)</f>
        <v>-9</v>
      </c>
      <c r="I1021" s="13" t="n">
        <v>41</v>
      </c>
    </row>
    <row r="1022" customFormat="false" ht="15" hidden="false" customHeight="false" outlineLevel="0" collapsed="false">
      <c r="B1022" s="12" t="s">
        <v>46</v>
      </c>
      <c r="C1022" s="12" t="s">
        <v>196</v>
      </c>
      <c r="D1022" s="17" t="s">
        <v>197</v>
      </c>
      <c r="E1022" s="17" t="s">
        <v>68</v>
      </c>
      <c r="F1022" s="13" t="n">
        <v>15</v>
      </c>
      <c r="G1022" s="13" t="n">
        <v>9</v>
      </c>
      <c r="H1022" s="18" t="n">
        <f aca="false">N(G1022)-N(F1022)</f>
        <v>-6</v>
      </c>
      <c r="I1022" s="13" t="n">
        <v>15</v>
      </c>
    </row>
    <row r="1023" customFormat="false" ht="15" hidden="false" customHeight="false" outlineLevel="0" collapsed="false">
      <c r="B1023" s="12" t="s">
        <v>46</v>
      </c>
      <c r="C1023" s="12" t="s">
        <v>110</v>
      </c>
      <c r="D1023" s="17" t="s">
        <v>111</v>
      </c>
      <c r="E1023" s="17" t="s">
        <v>68</v>
      </c>
      <c r="F1023" s="13" t="n">
        <v>200</v>
      </c>
      <c r="G1023" s="13" t="n">
        <v>107</v>
      </c>
      <c r="H1023" s="18" t="n">
        <f aca="false">N(G1023)-N(F1023)</f>
        <v>-93</v>
      </c>
      <c r="I1023" s="13" t="n">
        <v>200</v>
      </c>
    </row>
    <row r="1024" customFormat="false" ht="15" hidden="false" customHeight="false" outlineLevel="0" collapsed="false">
      <c r="B1024" s="12" t="s">
        <v>46</v>
      </c>
      <c r="C1024" s="12" t="s">
        <v>135</v>
      </c>
      <c r="D1024" s="17" t="s">
        <v>136</v>
      </c>
      <c r="E1024" s="17" t="s">
        <v>94</v>
      </c>
      <c r="F1024" s="13" t="n">
        <v>4416</v>
      </c>
      <c r="G1024" s="13" t="n">
        <v>2372</v>
      </c>
      <c r="H1024" s="18" t="n">
        <f aca="false">N(G1024)-N(F1024)</f>
        <v>-2044</v>
      </c>
      <c r="I1024" s="13" t="n">
        <v>4611.5067</v>
      </c>
    </row>
    <row r="1025" customFormat="false" ht="15" hidden="false" customHeight="false" outlineLevel="0" collapsed="false">
      <c r="B1025" s="12" t="s">
        <v>46</v>
      </c>
      <c r="C1025" s="12" t="s">
        <v>319</v>
      </c>
      <c r="D1025" s="17" t="s">
        <v>320</v>
      </c>
      <c r="E1025" s="17" t="s">
        <v>68</v>
      </c>
      <c r="F1025" s="13" t="n">
        <v>0</v>
      </c>
      <c r="G1025" s="13" t="n">
        <v>6</v>
      </c>
      <c r="H1025" s="18" t="n">
        <f aca="false">N(G1025)-N(F1025)</f>
        <v>6</v>
      </c>
      <c r="I1025" s="13" t="n">
        <v>9</v>
      </c>
    </row>
    <row r="1026" customFormat="false" ht="15" hidden="false" customHeight="false" outlineLevel="0" collapsed="false">
      <c r="B1026" s="12" t="s">
        <v>46</v>
      </c>
      <c r="C1026" s="12" t="s">
        <v>395</v>
      </c>
      <c r="D1026" s="17" t="s">
        <v>396</v>
      </c>
      <c r="E1026" s="17" t="s">
        <v>68</v>
      </c>
      <c r="F1026" s="13" t="n">
        <v>0</v>
      </c>
      <c r="G1026" s="13" t="n">
        <v>5</v>
      </c>
      <c r="H1026" s="18" t="n">
        <f aca="false">N(G1026)-N(F1026)</f>
        <v>5</v>
      </c>
      <c r="I1026" s="13" t="n">
        <v>2</v>
      </c>
    </row>
    <row r="1027" customFormat="false" ht="15" hidden="false" customHeight="false" outlineLevel="0" collapsed="false">
      <c r="B1027" s="12" t="s">
        <v>46</v>
      </c>
      <c r="C1027" s="12" t="s">
        <v>297</v>
      </c>
      <c r="D1027" s="17" t="s">
        <v>298</v>
      </c>
      <c r="E1027" s="17"/>
      <c r="F1027" s="13" t="n">
        <v>0</v>
      </c>
      <c r="G1027" s="13" t="n">
        <v>1</v>
      </c>
      <c r="H1027" s="18" t="n">
        <f aca="false">N(G1027)-N(F1027)</f>
        <v>1</v>
      </c>
      <c r="I1027" s="13"/>
    </row>
    <row r="1028" customFormat="false" ht="15" hidden="false" customHeight="false" outlineLevel="0" collapsed="false">
      <c r="B1028" s="12" t="s">
        <v>46</v>
      </c>
      <c r="C1028" s="12" t="s">
        <v>512</v>
      </c>
      <c r="D1028" s="17" t="s">
        <v>513</v>
      </c>
      <c r="E1028" s="17"/>
      <c r="F1028" s="13" t="n">
        <v>900</v>
      </c>
      <c r="G1028" s="13" t="n">
        <v>854</v>
      </c>
      <c r="H1028" s="18" t="n">
        <f aca="false">N(G1028)-N(F1028)</f>
        <v>-46</v>
      </c>
      <c r="I1028" s="13"/>
    </row>
    <row r="1029" customFormat="false" ht="15" hidden="false" customHeight="false" outlineLevel="0" collapsed="false">
      <c r="B1029" s="12" t="s">
        <v>46</v>
      </c>
      <c r="C1029" s="12" t="s">
        <v>170</v>
      </c>
      <c r="D1029" s="17" t="s">
        <v>171</v>
      </c>
      <c r="E1029" s="17"/>
      <c r="F1029" s="13" t="n">
        <v>6</v>
      </c>
      <c r="G1029" s="13" t="n">
        <v>4</v>
      </c>
      <c r="H1029" s="18" t="n">
        <f aca="false">N(G1029)-N(F1029)</f>
        <v>-2</v>
      </c>
      <c r="I1029" s="13"/>
    </row>
    <row r="1030" customFormat="false" ht="15" hidden="false" customHeight="false" outlineLevel="0" collapsed="false">
      <c r="B1030" s="12" t="s">
        <v>46</v>
      </c>
      <c r="C1030" s="12" t="s">
        <v>198</v>
      </c>
      <c r="D1030" s="17" t="s">
        <v>199</v>
      </c>
      <c r="E1030" s="17"/>
      <c r="F1030" s="13" t="n">
        <v>0</v>
      </c>
      <c r="G1030" s="13" t="n">
        <v>7</v>
      </c>
      <c r="H1030" s="18" t="n">
        <f aca="false">N(G1030)-N(F1030)</f>
        <v>7</v>
      </c>
      <c r="I1030" s="13"/>
    </row>
    <row r="1031" customFormat="false" ht="15" hidden="false" customHeight="false" outlineLevel="0" collapsed="false">
      <c r="B1031" s="12" t="s">
        <v>46</v>
      </c>
      <c r="C1031" s="12" t="s">
        <v>88</v>
      </c>
      <c r="D1031" s="17" t="s">
        <v>89</v>
      </c>
      <c r="E1031" s="17" t="s">
        <v>68</v>
      </c>
      <c r="F1031" s="13" t="n">
        <v>105</v>
      </c>
      <c r="G1031" s="13" t="n">
        <v>111</v>
      </c>
      <c r="H1031" s="18" t="n">
        <f aca="false">N(G1031)-N(F1031)</f>
        <v>6</v>
      </c>
      <c r="I1031" s="13" t="n">
        <v>105</v>
      </c>
    </row>
    <row r="1032" customFormat="false" ht="15" hidden="false" customHeight="false" outlineLevel="0" collapsed="false">
      <c r="B1032" s="12" t="s">
        <v>46</v>
      </c>
      <c r="C1032" s="12" t="s">
        <v>90</v>
      </c>
      <c r="D1032" s="17" t="s">
        <v>91</v>
      </c>
      <c r="E1032" s="17" t="s">
        <v>68</v>
      </c>
      <c r="F1032" s="13" t="n">
        <v>15</v>
      </c>
      <c r="G1032" s="13" t="n">
        <v>21</v>
      </c>
      <c r="H1032" s="18" t="n">
        <f aca="false">N(G1032)-N(F1032)</f>
        <v>6</v>
      </c>
      <c r="I1032" s="13" t="n">
        <v>15</v>
      </c>
    </row>
    <row r="1033" customFormat="false" ht="15" hidden="false" customHeight="false" outlineLevel="0" collapsed="false">
      <c r="B1033" s="12" t="s">
        <v>46</v>
      </c>
      <c r="C1033" s="12" t="s">
        <v>92</v>
      </c>
      <c r="D1033" s="17" t="s">
        <v>93</v>
      </c>
      <c r="E1033" s="17" t="s">
        <v>94</v>
      </c>
      <c r="F1033" s="13" t="n">
        <v>1460</v>
      </c>
      <c r="G1033" s="13" t="n">
        <v>1380</v>
      </c>
      <c r="H1033" s="18" t="n">
        <f aca="false">N(G1033)-N(F1033)</f>
        <v>-80</v>
      </c>
      <c r="I1033" s="13" t="n">
        <v>665.0471</v>
      </c>
    </row>
    <row r="1034" customFormat="false" ht="15" hidden="false" customHeight="false" outlineLevel="0" collapsed="false">
      <c r="B1034" s="12" t="s">
        <v>46</v>
      </c>
      <c r="C1034" s="12" t="s">
        <v>300</v>
      </c>
      <c r="D1034" s="17" t="s">
        <v>301</v>
      </c>
      <c r="E1034" s="17"/>
      <c r="F1034" s="13" t="n">
        <v>0</v>
      </c>
      <c r="G1034" s="13" t="n">
        <v>6</v>
      </c>
      <c r="H1034" s="18" t="n">
        <f aca="false">N(G1034)-N(F1034)</f>
        <v>6</v>
      </c>
      <c r="I1034" s="13"/>
    </row>
    <row r="1035" customFormat="false" ht="15" hidden="false" customHeight="false" outlineLevel="0" collapsed="false">
      <c r="B1035" s="12" t="s">
        <v>46</v>
      </c>
      <c r="C1035" s="12" t="s">
        <v>240</v>
      </c>
      <c r="D1035" s="17" t="s">
        <v>241</v>
      </c>
      <c r="E1035" s="17" t="s">
        <v>94</v>
      </c>
      <c r="F1035" s="13" t="n">
        <v>2770</v>
      </c>
      <c r="G1035" s="13" t="n">
        <v>58</v>
      </c>
      <c r="H1035" s="18" t="n">
        <f aca="false">N(G1035)-N(F1035)</f>
        <v>-2712</v>
      </c>
      <c r="I1035" s="13" t="n">
        <v>3891.6837</v>
      </c>
    </row>
    <row r="1036" customFormat="false" ht="15" hidden="false" customHeight="false" outlineLevel="0" collapsed="false">
      <c r="B1036" s="12" t="s">
        <v>46</v>
      </c>
      <c r="C1036" s="12" t="s">
        <v>325</v>
      </c>
      <c r="D1036" s="17" t="s">
        <v>326</v>
      </c>
      <c r="E1036" s="17" t="s">
        <v>68</v>
      </c>
      <c r="F1036" s="13" t="n">
        <v>20</v>
      </c>
      <c r="G1036" s="13" t="n">
        <v>30</v>
      </c>
      <c r="H1036" s="18" t="n">
        <f aca="false">N(G1036)-N(F1036)</f>
        <v>10</v>
      </c>
      <c r="I1036" s="13" t="n">
        <v>20</v>
      </c>
    </row>
    <row r="1037" customFormat="false" ht="15" hidden="false" customHeight="false" outlineLevel="0" collapsed="false">
      <c r="B1037" s="12" t="s">
        <v>46</v>
      </c>
      <c r="C1037" s="12" t="s">
        <v>95</v>
      </c>
      <c r="D1037" s="17" t="s">
        <v>96</v>
      </c>
      <c r="E1037" s="17"/>
      <c r="F1037" s="13" t="n">
        <v>20</v>
      </c>
      <c r="G1037" s="13" t="n">
        <v>13</v>
      </c>
      <c r="H1037" s="18" t="n">
        <f aca="false">N(G1037)-N(F1037)</f>
        <v>-7</v>
      </c>
      <c r="I1037" s="13"/>
    </row>
    <row r="1038" customFormat="false" ht="15" hidden="false" customHeight="false" outlineLevel="0" collapsed="false">
      <c r="B1038" s="12" t="s">
        <v>46</v>
      </c>
      <c r="C1038" s="12" t="s">
        <v>97</v>
      </c>
      <c r="D1038" s="17" t="s">
        <v>98</v>
      </c>
      <c r="E1038" s="17" t="s">
        <v>68</v>
      </c>
      <c r="F1038" s="13" t="n">
        <v>120</v>
      </c>
      <c r="G1038" s="13" t="n">
        <v>80</v>
      </c>
      <c r="H1038" s="18" t="n">
        <f aca="false">N(G1038)-N(F1038)</f>
        <v>-40</v>
      </c>
      <c r="I1038" s="13" t="n">
        <v>120</v>
      </c>
    </row>
    <row r="1039" customFormat="false" ht="15" hidden="false" customHeight="false" outlineLevel="0" collapsed="false">
      <c r="B1039" s="12" t="s">
        <v>46</v>
      </c>
      <c r="C1039" s="12" t="s">
        <v>454</v>
      </c>
      <c r="D1039" s="17" t="s">
        <v>455</v>
      </c>
      <c r="E1039" s="17" t="s">
        <v>68</v>
      </c>
      <c r="F1039" s="13" t="n">
        <v>30</v>
      </c>
      <c r="G1039" s="13" t="n">
        <v>0</v>
      </c>
      <c r="H1039" s="18" t="n">
        <f aca="false">N(G1039)-N(F1039)</f>
        <v>-30</v>
      </c>
      <c r="I1039" s="13" t="n">
        <v>30</v>
      </c>
    </row>
    <row r="1040" customFormat="false" ht="15" hidden="false" customHeight="false" outlineLevel="0" collapsed="false">
      <c r="B1040" s="12" t="s">
        <v>46</v>
      </c>
      <c r="C1040" s="12" t="s">
        <v>201</v>
      </c>
      <c r="D1040" s="17" t="s">
        <v>202</v>
      </c>
      <c r="E1040" s="17" t="s">
        <v>68</v>
      </c>
      <c r="F1040" s="13" t="n">
        <v>56</v>
      </c>
      <c r="G1040" s="13" t="n">
        <v>36</v>
      </c>
      <c r="H1040" s="18" t="n">
        <f aca="false">N(G1040)-N(F1040)</f>
        <v>-20</v>
      </c>
      <c r="I1040" s="13" t="n">
        <v>56</v>
      </c>
    </row>
    <row r="1041" customFormat="false" ht="15" hidden="false" customHeight="false" outlineLevel="0" collapsed="false">
      <c r="B1041" s="12" t="s">
        <v>46</v>
      </c>
      <c r="C1041" s="12" t="s">
        <v>138</v>
      </c>
      <c r="D1041" s="17" t="s">
        <v>139</v>
      </c>
      <c r="E1041" s="17" t="s">
        <v>68</v>
      </c>
      <c r="F1041" s="13" t="n">
        <v>15</v>
      </c>
      <c r="G1041" s="13" t="n">
        <v>9</v>
      </c>
      <c r="H1041" s="18" t="n">
        <f aca="false">N(G1041)-N(F1041)</f>
        <v>-6</v>
      </c>
      <c r="I1041" s="13" t="n">
        <v>30</v>
      </c>
    </row>
    <row r="1042" customFormat="false" ht="15" hidden="false" customHeight="false" outlineLevel="0" collapsed="false">
      <c r="B1042" s="12" t="s">
        <v>46</v>
      </c>
      <c r="C1042" s="12" t="s">
        <v>366</v>
      </c>
      <c r="D1042" s="17" t="s">
        <v>367</v>
      </c>
      <c r="E1042" s="17"/>
      <c r="F1042" s="13" t="n">
        <v>0</v>
      </c>
      <c r="G1042" s="13" t="n">
        <v>2</v>
      </c>
      <c r="H1042" s="18" t="n">
        <f aca="false">N(G1042)-N(F1042)</f>
        <v>2</v>
      </c>
      <c r="I1042" s="13"/>
    </row>
    <row r="1043" customFormat="false" ht="15" hidden="false" customHeight="false" outlineLevel="0" collapsed="false">
      <c r="B1043" s="12" t="s">
        <v>46</v>
      </c>
      <c r="C1043" s="12" t="s">
        <v>302</v>
      </c>
      <c r="D1043" s="17" t="s">
        <v>133</v>
      </c>
      <c r="E1043" s="17"/>
      <c r="F1043" s="13" t="n">
        <v>24</v>
      </c>
      <c r="G1043" s="13" t="n">
        <v>12</v>
      </c>
      <c r="H1043" s="18" t="n">
        <f aca="false">N(G1043)-N(F1043)</f>
        <v>-12</v>
      </c>
      <c r="I1043" s="13"/>
    </row>
    <row r="1044" customFormat="false" ht="15" hidden="false" customHeight="false" outlineLevel="0" collapsed="false">
      <c r="B1044" s="12" t="s">
        <v>46</v>
      </c>
      <c r="C1044" s="12" t="s">
        <v>242</v>
      </c>
      <c r="D1044" s="17" t="s">
        <v>243</v>
      </c>
      <c r="E1044" s="17"/>
      <c r="F1044" s="13" t="n">
        <v>0</v>
      </c>
      <c r="G1044" s="13" t="n">
        <v>17</v>
      </c>
      <c r="H1044" s="18" t="n">
        <f aca="false">N(G1044)-N(F1044)</f>
        <v>17</v>
      </c>
      <c r="I1044" s="13"/>
    </row>
    <row r="1045" customFormat="false" ht="15" hidden="false" customHeight="false" outlineLevel="0" collapsed="false">
      <c r="B1045" s="12" t="s">
        <v>46</v>
      </c>
      <c r="C1045" s="12" t="s">
        <v>113</v>
      </c>
      <c r="D1045" s="17" t="s">
        <v>114</v>
      </c>
      <c r="E1045" s="17" t="s">
        <v>68</v>
      </c>
      <c r="F1045" s="13" t="n">
        <v>85</v>
      </c>
      <c r="G1045" s="13" t="n">
        <v>104</v>
      </c>
      <c r="H1045" s="18" t="n">
        <f aca="false">N(G1045)-N(F1045)</f>
        <v>19</v>
      </c>
      <c r="I1045" s="13" t="n">
        <v>85</v>
      </c>
    </row>
    <row r="1046" customFormat="false" ht="15" hidden="false" customHeight="false" outlineLevel="0" collapsed="false">
      <c r="B1046" s="12" t="s">
        <v>46</v>
      </c>
      <c r="C1046" s="12" t="s">
        <v>329</v>
      </c>
      <c r="D1046" s="17" t="s">
        <v>330</v>
      </c>
      <c r="E1046" s="17"/>
      <c r="F1046" s="13" t="n">
        <v>0</v>
      </c>
      <c r="G1046" s="13" t="n">
        <v>18</v>
      </c>
      <c r="H1046" s="18" t="n">
        <f aca="false">N(G1046)-N(F1046)</f>
        <v>18</v>
      </c>
      <c r="I1046" s="13"/>
    </row>
    <row r="1047" customFormat="false" ht="15" hidden="false" customHeight="false" outlineLevel="0" collapsed="false">
      <c r="B1047" s="12" t="s">
        <v>46</v>
      </c>
      <c r="C1047" s="12" t="s">
        <v>304</v>
      </c>
      <c r="D1047" s="17" t="s">
        <v>305</v>
      </c>
      <c r="E1047" s="17" t="s">
        <v>68</v>
      </c>
      <c r="F1047" s="13" t="n">
        <v>28</v>
      </c>
      <c r="G1047" s="13" t="n">
        <v>18</v>
      </c>
      <c r="H1047" s="18" t="n">
        <f aca="false">N(G1047)-N(F1047)</f>
        <v>-10</v>
      </c>
      <c r="I1047" s="13" t="n">
        <v>28</v>
      </c>
    </row>
    <row r="1048" customFormat="false" ht="15" hidden="false" customHeight="false" outlineLevel="0" collapsed="false">
      <c r="B1048" s="12" t="s">
        <v>46</v>
      </c>
      <c r="C1048" s="12" t="s">
        <v>115</v>
      </c>
      <c r="D1048" s="17" t="s">
        <v>116</v>
      </c>
      <c r="E1048" s="17" t="s">
        <v>68</v>
      </c>
      <c r="F1048" s="13" t="n">
        <v>15</v>
      </c>
      <c r="G1048" s="13" t="n">
        <v>0</v>
      </c>
      <c r="H1048" s="18" t="n">
        <f aca="false">N(G1048)-N(F1048)</f>
        <v>-15</v>
      </c>
      <c r="I1048" s="13" t="n">
        <v>15</v>
      </c>
    </row>
    <row r="1049" customFormat="false" ht="15" hidden="false" customHeight="false" outlineLevel="0" collapsed="false">
      <c r="B1049" s="12" t="s">
        <v>46</v>
      </c>
      <c r="C1049" s="12" t="s">
        <v>332</v>
      </c>
      <c r="D1049" s="17" t="s">
        <v>333</v>
      </c>
      <c r="E1049" s="17"/>
      <c r="F1049" s="13" t="n">
        <v>0</v>
      </c>
      <c r="G1049" s="13" t="n">
        <v>18</v>
      </c>
      <c r="H1049" s="18" t="n">
        <f aca="false">N(G1049)-N(F1049)</f>
        <v>18</v>
      </c>
      <c r="I1049" s="13"/>
    </row>
    <row r="1050" customFormat="false" ht="15" hidden="false" customHeight="false" outlineLevel="0" collapsed="false">
      <c r="B1050" s="12" t="s">
        <v>46</v>
      </c>
      <c r="C1050" s="12" t="s">
        <v>401</v>
      </c>
      <c r="D1050" s="17" t="s">
        <v>402</v>
      </c>
      <c r="E1050" s="17"/>
      <c r="F1050" s="13" t="n">
        <v>0</v>
      </c>
      <c r="G1050" s="13" t="n">
        <v>1</v>
      </c>
      <c r="H1050" s="18" t="n">
        <f aca="false">N(G1050)-N(F1050)</f>
        <v>1</v>
      </c>
      <c r="I1050" s="13"/>
    </row>
    <row r="1051" customFormat="false" ht="15" hidden="false" customHeight="false" outlineLevel="0" collapsed="false">
      <c r="B1051" s="12" t="s">
        <v>46</v>
      </c>
      <c r="C1051" s="12" t="s">
        <v>118</v>
      </c>
      <c r="D1051" s="17" t="s">
        <v>119</v>
      </c>
      <c r="E1051" s="17" t="s">
        <v>68</v>
      </c>
      <c r="F1051" s="13" t="n">
        <v>12</v>
      </c>
      <c r="G1051" s="13" t="n">
        <v>20</v>
      </c>
      <c r="H1051" s="18" t="n">
        <f aca="false">N(G1051)-N(F1051)</f>
        <v>8</v>
      </c>
      <c r="I1051" s="13" t="n">
        <v>12</v>
      </c>
    </row>
    <row r="1052" customFormat="false" ht="15" hidden="false" customHeight="false" outlineLevel="0" collapsed="false">
      <c r="B1052" s="12" t="s">
        <v>46</v>
      </c>
      <c r="C1052" s="12" t="s">
        <v>595</v>
      </c>
      <c r="D1052" s="17" t="s">
        <v>596</v>
      </c>
      <c r="E1052" s="17"/>
      <c r="F1052" s="13" t="n">
        <v>0</v>
      </c>
      <c r="G1052" s="13" t="n">
        <v>1</v>
      </c>
      <c r="H1052" s="18" t="n">
        <f aca="false">N(G1052)-N(F1052)</f>
        <v>1</v>
      </c>
      <c r="I1052" s="13"/>
    </row>
    <row r="1053" customFormat="false" ht="15" hidden="false" customHeight="false" outlineLevel="0" collapsed="false">
      <c r="B1053" s="12" t="s">
        <v>46</v>
      </c>
      <c r="C1053" s="12" t="s">
        <v>204</v>
      </c>
      <c r="D1053" s="17" t="s">
        <v>205</v>
      </c>
      <c r="E1053" s="17"/>
      <c r="F1053" s="13" t="n">
        <v>0</v>
      </c>
      <c r="G1053" s="13" t="n">
        <v>9</v>
      </c>
      <c r="H1053" s="18" t="n">
        <f aca="false">N(G1053)-N(F1053)</f>
        <v>9</v>
      </c>
      <c r="I1053" s="13"/>
    </row>
    <row r="1054" customFormat="false" ht="15" hidden="false" customHeight="false" outlineLevel="0" collapsed="false">
      <c r="B1054" s="12" t="s">
        <v>46</v>
      </c>
      <c r="C1054" s="12" t="s">
        <v>99</v>
      </c>
      <c r="D1054" s="17" t="s">
        <v>100</v>
      </c>
      <c r="E1054" s="17" t="s">
        <v>68</v>
      </c>
      <c r="F1054" s="13" t="n">
        <v>84</v>
      </c>
      <c r="G1054" s="13" t="n">
        <v>40</v>
      </c>
      <c r="H1054" s="18" t="n">
        <f aca="false">N(G1054)-N(F1054)</f>
        <v>-44</v>
      </c>
      <c r="I1054" s="13" t="n">
        <v>84</v>
      </c>
    </row>
    <row r="1055" customFormat="false" ht="15" hidden="false" customHeight="false" outlineLevel="0" collapsed="false">
      <c r="B1055" s="12" t="s">
        <v>46</v>
      </c>
      <c r="C1055" s="12" t="s">
        <v>173</v>
      </c>
      <c r="D1055" s="17" t="s">
        <v>174</v>
      </c>
      <c r="E1055" s="17"/>
      <c r="F1055" s="13" t="n">
        <v>0</v>
      </c>
      <c r="G1055" s="13" t="n">
        <v>6</v>
      </c>
      <c r="H1055" s="18" t="n">
        <f aca="false">N(G1055)-N(F1055)</f>
        <v>6</v>
      </c>
      <c r="I1055" s="13"/>
    </row>
    <row r="1056" customFormat="false" ht="15" hidden="false" customHeight="false" outlineLevel="0" collapsed="false">
      <c r="B1056" s="12" t="s">
        <v>46</v>
      </c>
      <c r="C1056" s="12" t="s">
        <v>336</v>
      </c>
      <c r="D1056" s="17" t="s">
        <v>337</v>
      </c>
      <c r="E1056" s="17" t="s">
        <v>68</v>
      </c>
      <c r="F1056" s="13" t="n">
        <v>30</v>
      </c>
      <c r="G1056" s="13" t="n">
        <v>34</v>
      </c>
      <c r="H1056" s="18" t="n">
        <f aca="false">N(G1056)-N(F1056)</f>
        <v>4</v>
      </c>
      <c r="I1056" s="13" t="n">
        <v>30</v>
      </c>
    </row>
    <row r="1057" customFormat="false" ht="15" hidden="false" customHeight="false" outlineLevel="0" collapsed="false">
      <c r="B1057" s="12" t="s">
        <v>46</v>
      </c>
      <c r="C1057" s="12" t="s">
        <v>338</v>
      </c>
      <c r="D1057" s="17" t="s">
        <v>339</v>
      </c>
      <c r="E1057" s="17" t="s">
        <v>68</v>
      </c>
      <c r="F1057" s="13" t="n">
        <v>10</v>
      </c>
      <c r="G1057" s="13" t="n">
        <v>17</v>
      </c>
      <c r="H1057" s="18" t="n">
        <f aca="false">N(G1057)-N(F1057)</f>
        <v>7</v>
      </c>
      <c r="I1057" s="13" t="n">
        <v>10</v>
      </c>
    </row>
    <row r="1058" customFormat="false" ht="15" hidden="false" customHeight="false" outlineLevel="0" collapsed="false">
      <c r="B1058" s="12" t="s">
        <v>46</v>
      </c>
      <c r="C1058" s="12" t="s">
        <v>101</v>
      </c>
      <c r="D1058" s="17" t="s">
        <v>102</v>
      </c>
      <c r="E1058" s="17" t="s">
        <v>68</v>
      </c>
      <c r="F1058" s="13" t="n">
        <v>68</v>
      </c>
      <c r="G1058" s="13" t="n">
        <v>64</v>
      </c>
      <c r="H1058" s="18" t="n">
        <f aca="false">N(G1058)-N(F1058)</f>
        <v>-4</v>
      </c>
      <c r="I1058" s="13" t="n">
        <v>103</v>
      </c>
    </row>
    <row r="1059" customFormat="false" ht="15" hidden="false" customHeight="false" outlineLevel="0" collapsed="false">
      <c r="B1059" s="12" t="s">
        <v>46</v>
      </c>
      <c r="C1059" s="12" t="s">
        <v>121</v>
      </c>
      <c r="D1059" s="17" t="s">
        <v>122</v>
      </c>
      <c r="E1059" s="17" t="s">
        <v>68</v>
      </c>
      <c r="F1059" s="13" t="n">
        <v>8</v>
      </c>
      <c r="G1059" s="13" t="n">
        <v>26</v>
      </c>
      <c r="H1059" s="18" t="n">
        <f aca="false">N(G1059)-N(F1059)</f>
        <v>18</v>
      </c>
      <c r="I1059" s="13" t="n">
        <v>8</v>
      </c>
    </row>
    <row r="1060" customFormat="false" ht="15" hidden="false" customHeight="false" outlineLevel="0" collapsed="false">
      <c r="B1060" s="12" t="s">
        <v>46</v>
      </c>
      <c r="C1060" s="12" t="s">
        <v>141</v>
      </c>
      <c r="D1060" s="17" t="s">
        <v>142</v>
      </c>
      <c r="E1060" s="17"/>
      <c r="F1060" s="13" t="n">
        <v>0</v>
      </c>
      <c r="G1060" s="13" t="n">
        <v>9</v>
      </c>
      <c r="H1060" s="18" t="n">
        <f aca="false">N(G1060)-N(F1060)</f>
        <v>9</v>
      </c>
      <c r="I1060" s="13"/>
    </row>
    <row r="1061" customFormat="false" ht="15" hidden="false" customHeight="false" outlineLevel="0" collapsed="false">
      <c r="B1061" s="12" t="s">
        <v>46</v>
      </c>
      <c r="C1061" s="12" t="s">
        <v>207</v>
      </c>
      <c r="D1061" s="17" t="s">
        <v>208</v>
      </c>
      <c r="E1061" s="17" t="s">
        <v>68</v>
      </c>
      <c r="F1061" s="13" t="n">
        <v>50</v>
      </c>
      <c r="G1061" s="13" t="n">
        <v>46</v>
      </c>
      <c r="H1061" s="18" t="n">
        <f aca="false">N(G1061)-N(F1061)</f>
        <v>-4</v>
      </c>
      <c r="I1061" s="13" t="n">
        <v>50</v>
      </c>
    </row>
    <row r="1062" customFormat="false" ht="15" hidden="false" customHeight="false" outlineLevel="0" collapsed="false">
      <c r="B1062" s="12" t="s">
        <v>46</v>
      </c>
      <c r="C1062" s="12" t="s">
        <v>248</v>
      </c>
      <c r="D1062" s="17" t="s">
        <v>133</v>
      </c>
      <c r="E1062" s="17" t="s">
        <v>68</v>
      </c>
      <c r="F1062" s="13" t="n">
        <v>30</v>
      </c>
      <c r="G1062" s="13" t="n">
        <v>6</v>
      </c>
      <c r="H1062" s="18" t="n">
        <f aca="false">N(G1062)-N(F1062)</f>
        <v>-24</v>
      </c>
      <c r="I1062" s="13" t="n">
        <v>30</v>
      </c>
    </row>
    <row r="1063" customFormat="false" ht="15" hidden="false" customHeight="false" outlineLevel="0" collapsed="false">
      <c r="B1063" s="12" t="s">
        <v>46</v>
      </c>
      <c r="C1063" s="12" t="s">
        <v>210</v>
      </c>
      <c r="D1063" s="17" t="s">
        <v>211</v>
      </c>
      <c r="E1063" s="17" t="s">
        <v>68</v>
      </c>
      <c r="F1063" s="13" t="n">
        <v>30</v>
      </c>
      <c r="G1063" s="13" t="n">
        <v>23</v>
      </c>
      <c r="H1063" s="18" t="n">
        <f aca="false">N(G1063)-N(F1063)</f>
        <v>-7</v>
      </c>
      <c r="I1063" s="13" t="n">
        <v>30</v>
      </c>
    </row>
    <row r="1064" customFormat="false" ht="15" hidden="false" customHeight="false" outlineLevel="0" collapsed="false">
      <c r="B1064" s="12" t="s">
        <v>46</v>
      </c>
      <c r="C1064" s="12" t="s">
        <v>176</v>
      </c>
      <c r="D1064" s="17" t="s">
        <v>177</v>
      </c>
      <c r="E1064" s="17" t="s">
        <v>68</v>
      </c>
      <c r="F1064" s="13" t="n">
        <v>11</v>
      </c>
      <c r="G1064" s="13" t="n">
        <v>31</v>
      </c>
      <c r="H1064" s="18" t="n">
        <f aca="false">N(G1064)-N(F1064)</f>
        <v>20</v>
      </c>
      <c r="I1064" s="13" t="n">
        <v>11</v>
      </c>
    </row>
    <row r="1065" customFormat="false" ht="15" hidden="false" customHeight="false" outlineLevel="0" collapsed="false">
      <c r="B1065" s="12" t="s">
        <v>46</v>
      </c>
      <c r="C1065" s="12" t="s">
        <v>212</v>
      </c>
      <c r="D1065" s="17" t="s">
        <v>213</v>
      </c>
      <c r="E1065" s="17"/>
      <c r="F1065" s="13" t="n">
        <v>6</v>
      </c>
      <c r="G1065" s="13" t="n">
        <v>7</v>
      </c>
      <c r="H1065" s="18" t="n">
        <f aca="false">N(G1065)-N(F1065)</f>
        <v>1</v>
      </c>
      <c r="I1065" s="13"/>
    </row>
    <row r="1066" customFormat="false" ht="15" hidden="false" customHeight="false" outlineLevel="0" collapsed="false">
      <c r="B1066" s="12" t="s">
        <v>46</v>
      </c>
      <c r="C1066" s="12" t="s">
        <v>340</v>
      </c>
      <c r="D1066" s="17" t="s">
        <v>341</v>
      </c>
      <c r="E1066" s="17"/>
      <c r="F1066" s="13" t="n">
        <v>10</v>
      </c>
      <c r="G1066" s="13" t="n">
        <v>17</v>
      </c>
      <c r="H1066" s="18" t="n">
        <f aca="false">N(G1066)-N(F1066)</f>
        <v>7</v>
      </c>
      <c r="I1066" s="13"/>
    </row>
    <row r="1067" customFormat="false" ht="15" hidden="false" customHeight="false" outlineLevel="0" collapsed="false">
      <c r="B1067" s="12" t="s">
        <v>46</v>
      </c>
      <c r="C1067" s="12" t="s">
        <v>103</v>
      </c>
      <c r="D1067" s="17" t="s">
        <v>104</v>
      </c>
      <c r="E1067" s="17" t="s">
        <v>68</v>
      </c>
      <c r="F1067" s="13" t="n">
        <v>176</v>
      </c>
      <c r="G1067" s="13" t="n">
        <v>167</v>
      </c>
      <c r="H1067" s="18" t="n">
        <f aca="false">N(G1067)-N(F1067)</f>
        <v>-9</v>
      </c>
      <c r="I1067" s="13" t="n">
        <v>176</v>
      </c>
    </row>
    <row r="1068" customFormat="false" ht="15" hidden="false" customHeight="false" outlineLevel="0" collapsed="false">
      <c r="B1068" s="12" t="s">
        <v>46</v>
      </c>
      <c r="C1068" s="12" t="s">
        <v>215</v>
      </c>
      <c r="D1068" s="17" t="s">
        <v>216</v>
      </c>
      <c r="E1068" s="17" t="s">
        <v>68</v>
      </c>
      <c r="F1068" s="13" t="n">
        <v>0</v>
      </c>
      <c r="G1068" s="13" t="n">
        <v>19</v>
      </c>
      <c r="H1068" s="18" t="n">
        <f aca="false">N(G1068)-N(F1068)</f>
        <v>19</v>
      </c>
      <c r="I1068" s="13" t="n">
        <v>19</v>
      </c>
    </row>
    <row r="1069" customFormat="false" ht="15" hidden="false" customHeight="false" outlineLevel="0" collapsed="false">
      <c r="B1069" s="12" t="s">
        <v>46</v>
      </c>
      <c r="C1069" s="12" t="s">
        <v>469</v>
      </c>
      <c r="D1069" s="17" t="s">
        <v>470</v>
      </c>
      <c r="E1069" s="17"/>
      <c r="F1069" s="13" t="n">
        <v>0</v>
      </c>
      <c r="G1069" s="13" t="n">
        <v>1299</v>
      </c>
      <c r="H1069" s="18" t="n">
        <f aca="false">N(G1069)-N(F1069)</f>
        <v>1299</v>
      </c>
      <c r="I1069" s="13"/>
    </row>
    <row r="1070" customFormat="false" ht="15" hidden="false" customHeight="false" outlineLevel="0" collapsed="false">
      <c r="B1070" s="12" t="s">
        <v>46</v>
      </c>
      <c r="C1070" s="12" t="s">
        <v>179</v>
      </c>
      <c r="D1070" s="17" t="s">
        <v>180</v>
      </c>
      <c r="E1070" s="17"/>
      <c r="F1070" s="13" t="n">
        <v>0</v>
      </c>
      <c r="G1070" s="13" t="n">
        <v>8</v>
      </c>
      <c r="H1070" s="18" t="n">
        <f aca="false">N(G1070)-N(F1070)</f>
        <v>8</v>
      </c>
      <c r="I1070" s="13"/>
    </row>
    <row r="1071" customFormat="false" ht="15" hidden="false" customHeight="false" outlineLevel="0" collapsed="false">
      <c r="B1071" s="12" t="s">
        <v>46</v>
      </c>
      <c r="C1071" s="12" t="s">
        <v>342</v>
      </c>
      <c r="D1071" s="17" t="s">
        <v>343</v>
      </c>
      <c r="E1071" s="17"/>
      <c r="F1071" s="13" t="n">
        <v>0</v>
      </c>
      <c r="G1071" s="13" t="n">
        <v>4</v>
      </c>
      <c r="H1071" s="18" t="n">
        <f aca="false">N(G1071)-N(F1071)</f>
        <v>4</v>
      </c>
      <c r="I1071" s="13"/>
    </row>
    <row r="1072" customFormat="false" ht="15" hidden="false" customHeight="false" outlineLevel="0" collapsed="false">
      <c r="B1072" s="12" t="s">
        <v>46</v>
      </c>
      <c r="C1072" s="12" t="s">
        <v>143</v>
      </c>
      <c r="D1072" s="17" t="s">
        <v>144</v>
      </c>
      <c r="E1072" s="17" t="s">
        <v>68</v>
      </c>
      <c r="F1072" s="13" t="n">
        <v>7</v>
      </c>
      <c r="G1072" s="13" t="n">
        <v>0</v>
      </c>
      <c r="H1072" s="18" t="n">
        <f aca="false">N(G1072)-N(F1072)</f>
        <v>-7</v>
      </c>
      <c r="I1072" s="13" t="n">
        <v>7</v>
      </c>
    </row>
    <row r="1073" customFormat="false" ht="15" hidden="false" customHeight="false" outlineLevel="0" collapsed="false">
      <c r="B1073" s="12" t="s">
        <v>46</v>
      </c>
      <c r="C1073" s="12" t="s">
        <v>146</v>
      </c>
      <c r="D1073" s="17" t="s">
        <v>147</v>
      </c>
      <c r="E1073" s="17" t="s">
        <v>68</v>
      </c>
      <c r="F1073" s="13" t="n">
        <v>10</v>
      </c>
      <c r="G1073" s="13" t="n">
        <v>2</v>
      </c>
      <c r="H1073" s="18" t="n">
        <f aca="false">N(G1073)-N(F1073)</f>
        <v>-8</v>
      </c>
      <c r="I1073" s="13" t="n">
        <v>10</v>
      </c>
    </row>
    <row r="1074" customFormat="false" ht="15" hidden="false" customHeight="false" outlineLevel="0" collapsed="false">
      <c r="B1074" s="12" t="s">
        <v>46</v>
      </c>
      <c r="C1074" s="12" t="s">
        <v>182</v>
      </c>
      <c r="D1074" s="17" t="s">
        <v>183</v>
      </c>
      <c r="E1074" s="17" t="s">
        <v>68</v>
      </c>
      <c r="F1074" s="13" t="n">
        <v>25</v>
      </c>
      <c r="G1074" s="13" t="n">
        <v>24</v>
      </c>
      <c r="H1074" s="18" t="n">
        <f aca="false">N(G1074)-N(F1074)</f>
        <v>-1</v>
      </c>
      <c r="I1074" s="13" t="n">
        <v>25</v>
      </c>
    </row>
    <row r="1075" customFormat="false" ht="15" hidden="false" customHeight="false" outlineLevel="0" collapsed="false">
      <c r="B1075" s="12" t="s">
        <v>46</v>
      </c>
      <c r="C1075" s="12" t="s">
        <v>250</v>
      </c>
      <c r="D1075" s="17" t="s">
        <v>251</v>
      </c>
      <c r="E1075" s="17" t="s">
        <v>68</v>
      </c>
      <c r="F1075" s="13" t="n">
        <v>11</v>
      </c>
      <c r="G1075" s="13" t="n">
        <v>25</v>
      </c>
      <c r="H1075" s="18" t="n">
        <f aca="false">N(G1075)-N(F1075)</f>
        <v>14</v>
      </c>
      <c r="I1075" s="13" t="n">
        <v>15</v>
      </c>
    </row>
    <row r="1076" customFormat="false" ht="15" hidden="false" customHeight="false" outlineLevel="0" collapsed="false">
      <c r="B1076" s="12" t="s">
        <v>46</v>
      </c>
      <c r="C1076" s="12" t="s">
        <v>617</v>
      </c>
      <c r="D1076" s="17" t="s">
        <v>618</v>
      </c>
      <c r="E1076" s="17"/>
      <c r="F1076" s="13" t="n">
        <v>15</v>
      </c>
      <c r="G1076" s="13" t="n">
        <v>0</v>
      </c>
      <c r="H1076" s="18" t="n">
        <f aca="false">N(G1076)-N(F1076)</f>
        <v>-15</v>
      </c>
      <c r="I1076" s="13"/>
    </row>
    <row r="1077" customFormat="false" ht="15" hidden="false" customHeight="false" outlineLevel="0" collapsed="false">
      <c r="B1077" s="12" t="s">
        <v>46</v>
      </c>
      <c r="C1077" s="12" t="s">
        <v>148</v>
      </c>
      <c r="D1077" s="17" t="s">
        <v>149</v>
      </c>
      <c r="E1077" s="17" t="s">
        <v>68</v>
      </c>
      <c r="F1077" s="13" t="n">
        <v>16</v>
      </c>
      <c r="G1077" s="13" t="n">
        <v>22</v>
      </c>
      <c r="H1077" s="18" t="n">
        <f aca="false">N(G1077)-N(F1077)</f>
        <v>6</v>
      </c>
      <c r="I1077" s="13" t="n">
        <v>16</v>
      </c>
    </row>
    <row r="1078" customFormat="false" ht="15" hidden="false" customHeight="false" outlineLevel="0" collapsed="false">
      <c r="B1078" s="12" t="s">
        <v>46</v>
      </c>
      <c r="C1078" s="12" t="s">
        <v>350</v>
      </c>
      <c r="D1078" s="17" t="s">
        <v>351</v>
      </c>
      <c r="E1078" s="17" t="s">
        <v>68</v>
      </c>
      <c r="F1078" s="13" t="n">
        <v>28</v>
      </c>
      <c r="G1078" s="13" t="n">
        <v>0</v>
      </c>
      <c r="H1078" s="18" t="n">
        <f aca="false">N(G1078)-N(F1078)</f>
        <v>-28</v>
      </c>
      <c r="I1078" s="13" t="n">
        <v>28</v>
      </c>
    </row>
    <row r="1079" customFormat="false" ht="15" hidden="false" customHeight="false" outlineLevel="0" collapsed="false">
      <c r="B1079" s="12" t="s">
        <v>46</v>
      </c>
      <c r="C1079" s="12" t="s">
        <v>123</v>
      </c>
      <c r="D1079" s="17" t="s">
        <v>124</v>
      </c>
      <c r="E1079" s="17"/>
      <c r="F1079" s="13" t="n">
        <v>0</v>
      </c>
      <c r="G1079" s="13" t="n">
        <v>222</v>
      </c>
      <c r="H1079" s="18" t="n">
        <f aca="false">N(G1079)-N(F1079)</f>
        <v>222</v>
      </c>
      <c r="I1079" s="13"/>
    </row>
    <row r="1080" customFormat="false" ht="15" hidden="false" customHeight="false" outlineLevel="0" collapsed="false">
      <c r="B1080" s="12" t="s">
        <v>46</v>
      </c>
      <c r="C1080" s="12" t="s">
        <v>105</v>
      </c>
      <c r="D1080" s="17" t="s">
        <v>106</v>
      </c>
      <c r="E1080" s="17" t="s">
        <v>68</v>
      </c>
      <c r="F1080" s="13" t="n">
        <v>63</v>
      </c>
      <c r="G1080" s="13" t="n">
        <v>7</v>
      </c>
      <c r="H1080" s="18" t="n">
        <f aca="false">N(G1080)-N(F1080)</f>
        <v>-56</v>
      </c>
      <c r="I1080" s="13" t="n">
        <v>63</v>
      </c>
    </row>
    <row r="1081" customFormat="false" ht="15" hidden="false" customHeight="false" outlineLevel="0" collapsed="false">
      <c r="B1081" s="12" t="s">
        <v>46</v>
      </c>
      <c r="C1081" s="12" t="s">
        <v>107</v>
      </c>
      <c r="D1081" s="17" t="s">
        <v>108</v>
      </c>
      <c r="E1081" s="17"/>
      <c r="F1081" s="13" t="n">
        <v>0</v>
      </c>
      <c r="G1081" s="13" t="n">
        <v>22</v>
      </c>
      <c r="H1081" s="18" t="n">
        <f aca="false">N(G1081)-N(F1081)</f>
        <v>22</v>
      </c>
      <c r="I1081" s="13"/>
    </row>
    <row r="1082" customFormat="false" ht="15" hidden="false" customHeight="false" outlineLevel="0" collapsed="false">
      <c r="B1082" s="12" t="s">
        <v>46</v>
      </c>
      <c r="C1082" s="12" t="s">
        <v>310</v>
      </c>
      <c r="D1082" s="17" t="s">
        <v>311</v>
      </c>
      <c r="E1082" s="17"/>
      <c r="F1082" s="13" t="n">
        <v>0</v>
      </c>
      <c r="G1082" s="13" t="n">
        <v>4</v>
      </c>
      <c r="H1082" s="18" t="n">
        <f aca="false">N(G1082)-N(F1082)</f>
        <v>4</v>
      </c>
      <c r="I1082" s="13"/>
    </row>
    <row r="1083" customFormat="false" ht="15" hidden="false" customHeight="false" outlineLevel="0" collapsed="false">
      <c r="B1083" s="12" t="s">
        <v>46</v>
      </c>
      <c r="C1083" s="12" t="s">
        <v>375</v>
      </c>
      <c r="D1083" s="17" t="s">
        <v>376</v>
      </c>
      <c r="E1083" s="17"/>
      <c r="F1083" s="13" t="n">
        <v>0</v>
      </c>
      <c r="G1083" s="13" t="n">
        <v>5</v>
      </c>
      <c r="H1083" s="18" t="n">
        <f aca="false">N(G1083)-N(F1083)</f>
        <v>5</v>
      </c>
      <c r="I1083" s="13"/>
    </row>
    <row r="1084" customFormat="false" ht="15" hidden="false" customHeight="false" outlineLevel="0" collapsed="false">
      <c r="B1084" s="12" t="s">
        <v>46</v>
      </c>
      <c r="C1084" s="12" t="s">
        <v>354</v>
      </c>
      <c r="D1084" s="17" t="s">
        <v>355</v>
      </c>
      <c r="E1084" s="17"/>
      <c r="F1084" s="13" t="n">
        <v>15</v>
      </c>
      <c r="G1084" s="13" t="n">
        <v>13</v>
      </c>
      <c r="H1084" s="18" t="n">
        <f aca="false">N(G1084)-N(F1084)</f>
        <v>-2</v>
      </c>
      <c r="I1084" s="13"/>
    </row>
    <row r="1085" customFormat="false" ht="15" hidden="false" customHeight="false" outlineLevel="0" collapsed="false">
      <c r="B1085" s="12" t="s">
        <v>46</v>
      </c>
      <c r="C1085" s="12" t="s">
        <v>356</v>
      </c>
      <c r="D1085" s="17" t="s">
        <v>357</v>
      </c>
      <c r="E1085" s="17" t="s">
        <v>68</v>
      </c>
      <c r="F1085" s="13" t="n">
        <v>3</v>
      </c>
      <c r="G1085" s="13" t="n">
        <v>3</v>
      </c>
      <c r="H1085" s="18" t="n">
        <f aca="false">N(G1085)-N(F1085)</f>
        <v>0</v>
      </c>
      <c r="I1085" s="13" t="n">
        <v>4</v>
      </c>
    </row>
    <row r="1086" customFormat="false" ht="15" hidden="false" customHeight="false" outlineLevel="0" collapsed="false">
      <c r="B1086" s="12" t="s">
        <v>46</v>
      </c>
      <c r="C1086" s="12" t="s">
        <v>150</v>
      </c>
      <c r="D1086" s="17" t="s">
        <v>151</v>
      </c>
      <c r="E1086" s="17"/>
      <c r="F1086" s="13" t="n">
        <v>0</v>
      </c>
      <c r="G1086" s="13" t="n">
        <v>11</v>
      </c>
      <c r="H1086" s="18" t="n">
        <f aca="false">N(G1086)-N(F1086)</f>
        <v>11</v>
      </c>
      <c r="I1086" s="13"/>
    </row>
    <row r="1087" customFormat="false" ht="15" hidden="false" customHeight="false" outlineLevel="0" collapsed="false">
      <c r="B1087" s="12" t="s">
        <v>46</v>
      </c>
      <c r="C1087" s="12" t="s">
        <v>359</v>
      </c>
      <c r="D1087" s="17" t="s">
        <v>360</v>
      </c>
      <c r="E1087" s="17"/>
      <c r="F1087" s="13" t="n">
        <v>0</v>
      </c>
      <c r="G1087" s="13" t="n">
        <v>17</v>
      </c>
      <c r="H1087" s="18" t="n">
        <f aca="false">N(G1087)-N(F1087)</f>
        <v>17</v>
      </c>
      <c r="I1087" s="13"/>
    </row>
    <row r="1088" customFormat="false" ht="15" hidden="false" customHeight="false" outlineLevel="0" collapsed="false">
      <c r="B1088" s="12" t="s">
        <v>46</v>
      </c>
      <c r="C1088" s="12" t="s">
        <v>252</v>
      </c>
      <c r="D1088" s="17" t="s">
        <v>253</v>
      </c>
      <c r="E1088" s="17"/>
      <c r="F1088" s="13" t="n">
        <v>0</v>
      </c>
      <c r="G1088" s="13" t="n">
        <v>9</v>
      </c>
      <c r="H1088" s="18" t="n">
        <f aca="false">N(G1088)-N(F1088)</f>
        <v>9</v>
      </c>
      <c r="I1088" s="13"/>
    </row>
    <row r="1089" customFormat="false" ht="15" hidden="false" customHeight="false" outlineLevel="0" collapsed="false">
      <c r="B1089" s="12" t="s">
        <v>46</v>
      </c>
      <c r="C1089" s="12" t="s">
        <v>152</v>
      </c>
      <c r="D1089" s="17" t="s">
        <v>153</v>
      </c>
      <c r="E1089" s="17" t="s">
        <v>68</v>
      </c>
      <c r="F1089" s="13" t="n">
        <v>50</v>
      </c>
      <c r="G1089" s="13" t="n">
        <v>97</v>
      </c>
      <c r="H1089" s="18" t="n">
        <f aca="false">N(G1089)-N(F1089)</f>
        <v>47</v>
      </c>
      <c r="I1089" s="13" t="n">
        <v>50</v>
      </c>
    </row>
    <row r="1090" customFormat="false" ht="15" hidden="false" customHeight="false" outlineLevel="0" collapsed="false">
      <c r="B1090" s="12" t="s">
        <v>46</v>
      </c>
      <c r="C1090" s="12" t="s">
        <v>155</v>
      </c>
      <c r="D1090" s="17" t="s">
        <v>156</v>
      </c>
      <c r="E1090" s="17" t="s">
        <v>68</v>
      </c>
      <c r="F1090" s="13" t="n">
        <v>15</v>
      </c>
      <c r="G1090" s="13" t="n">
        <v>14</v>
      </c>
      <c r="H1090" s="18" t="n">
        <f aca="false">N(G1090)-N(F1090)</f>
        <v>-1</v>
      </c>
      <c r="I1090" s="13" t="n">
        <v>15</v>
      </c>
    </row>
    <row r="1091" customFormat="false" ht="15" hidden="false" customHeight="false" outlineLevel="0" collapsed="false">
      <c r="B1091" s="12" t="s">
        <v>46</v>
      </c>
      <c r="C1091" s="12" t="s">
        <v>255</v>
      </c>
      <c r="D1091" s="17" t="s">
        <v>256</v>
      </c>
      <c r="E1091" s="17" t="s">
        <v>94</v>
      </c>
      <c r="F1091" s="13" t="n">
        <v>5226</v>
      </c>
      <c r="G1091" s="13" t="n">
        <v>5226</v>
      </c>
      <c r="H1091" s="18" t="n">
        <f aca="false">N(G1091)-N(F1091)</f>
        <v>0</v>
      </c>
      <c r="I1091" s="13" t="n">
        <v>5246.4296</v>
      </c>
    </row>
    <row r="1092" customFormat="false" ht="15" hidden="false" customHeight="false" outlineLevel="0" collapsed="false">
      <c r="B1092" s="12" t="s">
        <v>46</v>
      </c>
      <c r="C1092" s="12" t="s">
        <v>157</v>
      </c>
      <c r="D1092" s="17" t="s">
        <v>158</v>
      </c>
      <c r="E1092" s="17" t="s">
        <v>68</v>
      </c>
      <c r="F1092" s="13" t="n">
        <v>80</v>
      </c>
      <c r="G1092" s="13" t="n">
        <v>97</v>
      </c>
      <c r="H1092" s="18" t="n">
        <f aca="false">N(G1092)-N(F1092)</f>
        <v>17</v>
      </c>
      <c r="I1092" s="13" t="n">
        <v>80</v>
      </c>
    </row>
    <row r="1093" customFormat="false" ht="15" hidden="false" customHeight="false" outlineLevel="0" collapsed="false">
      <c r="B1093" s="12" t="s">
        <v>46</v>
      </c>
      <c r="C1093" s="12" t="s">
        <v>218</v>
      </c>
      <c r="D1093" s="17" t="s">
        <v>219</v>
      </c>
      <c r="E1093" s="17" t="s">
        <v>68</v>
      </c>
      <c r="F1093" s="13" t="n">
        <v>2</v>
      </c>
      <c r="G1093" s="13" t="n">
        <v>1</v>
      </c>
      <c r="H1093" s="18" t="n">
        <f aca="false">N(G1093)-N(F1093)</f>
        <v>-1</v>
      </c>
      <c r="I1093" s="13" t="n">
        <v>9</v>
      </c>
    </row>
    <row r="1094" customFormat="false" ht="15" hidden="false" customHeight="false" outlineLevel="0" collapsed="false">
      <c r="B1094" s="12" t="s">
        <v>46</v>
      </c>
      <c r="C1094" s="12" t="s">
        <v>221</v>
      </c>
      <c r="D1094" s="17" t="s">
        <v>222</v>
      </c>
      <c r="E1094" s="17"/>
      <c r="F1094" s="13" t="n">
        <v>7</v>
      </c>
      <c r="G1094" s="13" t="n">
        <v>1</v>
      </c>
      <c r="H1094" s="18" t="n">
        <f aca="false">N(G1094)-N(F1094)</f>
        <v>-6</v>
      </c>
      <c r="I1094" s="13"/>
    </row>
    <row r="1095" customFormat="false" ht="15" hidden="false" customHeight="false" outlineLevel="0" collapsed="false">
      <c r="B1095" s="12" t="s">
        <v>46</v>
      </c>
      <c r="C1095" s="12" t="s">
        <v>159</v>
      </c>
      <c r="D1095" s="17" t="s">
        <v>160</v>
      </c>
      <c r="E1095" s="17" t="s">
        <v>68</v>
      </c>
      <c r="F1095" s="13" t="n">
        <v>14</v>
      </c>
      <c r="G1095" s="13" t="n">
        <v>7</v>
      </c>
      <c r="H1095" s="18" t="n">
        <f aca="false">N(G1095)-N(F1095)</f>
        <v>-7</v>
      </c>
      <c r="I1095" s="13" t="n">
        <v>14</v>
      </c>
    </row>
    <row r="1096" customFormat="false" ht="15" hidden="false" customHeight="false" outlineLevel="0" collapsed="false">
      <c r="B1096" s="12" t="s">
        <v>46</v>
      </c>
      <c r="C1096" s="12" t="s">
        <v>312</v>
      </c>
      <c r="D1096" s="17" t="s">
        <v>160</v>
      </c>
      <c r="E1096" s="17" t="s">
        <v>68</v>
      </c>
      <c r="F1096" s="13" t="n">
        <v>2</v>
      </c>
      <c r="G1096" s="13" t="n">
        <v>3</v>
      </c>
      <c r="H1096" s="18" t="n">
        <f aca="false">N(G1096)-N(F1096)</f>
        <v>1</v>
      </c>
      <c r="I1096" s="13" t="n">
        <v>2</v>
      </c>
    </row>
    <row r="1097" customFormat="false" ht="15" hidden="false" customHeight="false" outlineLevel="0" collapsed="false">
      <c r="B1097" s="12" t="s">
        <v>46</v>
      </c>
      <c r="C1097" s="12" t="s">
        <v>314</v>
      </c>
      <c r="D1097" s="17" t="s">
        <v>160</v>
      </c>
      <c r="E1097" s="17" t="s">
        <v>68</v>
      </c>
      <c r="F1097" s="13" t="n">
        <v>2</v>
      </c>
      <c r="G1097" s="13" t="n">
        <v>3</v>
      </c>
      <c r="H1097" s="18" t="n">
        <f aca="false">N(G1097)-N(F1097)</f>
        <v>1</v>
      </c>
      <c r="I1097" s="13" t="n">
        <v>2</v>
      </c>
    </row>
    <row r="1098" customFormat="false" ht="15" hidden="false" customHeight="false" outlineLevel="0" collapsed="false">
      <c r="B1098" s="12" t="s">
        <v>46</v>
      </c>
      <c r="C1098" s="12" t="s">
        <v>125</v>
      </c>
      <c r="D1098" s="17" t="s">
        <v>126</v>
      </c>
      <c r="E1098" s="17"/>
      <c r="F1098" s="13" t="n">
        <v>0</v>
      </c>
      <c r="G1098" s="13" t="n">
        <v>9</v>
      </c>
      <c r="H1098" s="18" t="n">
        <f aca="false">N(G1098)-N(F1098)</f>
        <v>9</v>
      </c>
      <c r="I1098" s="13"/>
    </row>
    <row r="1099" customFormat="false" ht="15" hidden="false" customHeight="false" outlineLevel="0" collapsed="false">
      <c r="B1099" s="12" t="s">
        <v>46</v>
      </c>
      <c r="C1099" s="12" t="s">
        <v>127</v>
      </c>
      <c r="D1099" s="17" t="s">
        <v>128</v>
      </c>
      <c r="E1099" s="17"/>
      <c r="F1099" s="13" t="n">
        <v>0</v>
      </c>
      <c r="G1099" s="13" t="n">
        <v>44</v>
      </c>
      <c r="H1099" s="18" t="n">
        <f aca="false">N(G1099)-N(F1099)</f>
        <v>44</v>
      </c>
      <c r="I1099" s="13"/>
    </row>
    <row r="1100" customFormat="false" ht="15" hidden="false" customHeight="false" outlineLevel="0" collapsed="false">
      <c r="B1100" s="12" t="s">
        <v>46</v>
      </c>
      <c r="C1100" s="12" t="s">
        <v>258</v>
      </c>
      <c r="D1100" s="17" t="s">
        <v>259</v>
      </c>
      <c r="E1100" s="17" t="s">
        <v>68</v>
      </c>
      <c r="F1100" s="13" t="n">
        <v>35</v>
      </c>
      <c r="G1100" s="13" t="n">
        <v>35</v>
      </c>
      <c r="H1100" s="18" t="n">
        <f aca="false">N(G1100)-N(F1100)</f>
        <v>0</v>
      </c>
      <c r="I1100" s="13" t="n">
        <v>35</v>
      </c>
    </row>
    <row r="1101" customFormat="false" ht="15" hidden="false" customHeight="false" outlineLevel="0" collapsed="false">
      <c r="B1101" s="12" t="s">
        <v>46</v>
      </c>
      <c r="C1101" s="12" t="s">
        <v>260</v>
      </c>
      <c r="D1101" s="17" t="s">
        <v>261</v>
      </c>
      <c r="E1101" s="17"/>
      <c r="F1101" s="13" t="n">
        <v>31</v>
      </c>
      <c r="G1101" s="13" t="n">
        <v>0</v>
      </c>
      <c r="H1101" s="18" t="n">
        <f aca="false">N(G1101)-N(F1101)</f>
        <v>-31</v>
      </c>
      <c r="I1101" s="13"/>
    </row>
    <row r="1102" customFormat="false" ht="15" hidden="false" customHeight="false" outlineLevel="0" collapsed="false">
      <c r="B1102" s="12" t="s">
        <v>46</v>
      </c>
      <c r="C1102" s="12" t="s">
        <v>224</v>
      </c>
      <c r="D1102" s="17" t="s">
        <v>225</v>
      </c>
      <c r="E1102" s="17"/>
      <c r="F1102" s="13" t="n">
        <v>30</v>
      </c>
      <c r="G1102" s="13" t="n">
        <v>26</v>
      </c>
      <c r="H1102" s="18" t="n">
        <f aca="false">N(G1102)-N(F1102)</f>
        <v>-4</v>
      </c>
      <c r="I1102" s="13"/>
    </row>
    <row r="1103" customFormat="false" ht="15" hidden="false" customHeight="false" outlineLevel="0" collapsed="false">
      <c r="B1103" s="12" t="s">
        <v>46</v>
      </c>
      <c r="C1103" s="12" t="s">
        <v>364</v>
      </c>
      <c r="D1103" s="17" t="s">
        <v>365</v>
      </c>
      <c r="E1103" s="17" t="s">
        <v>68</v>
      </c>
      <c r="F1103" s="13" t="n">
        <v>28</v>
      </c>
      <c r="G1103" s="13" t="n">
        <v>18</v>
      </c>
      <c r="H1103" s="18" t="n">
        <f aca="false">N(G1103)-N(F1103)</f>
        <v>-10</v>
      </c>
      <c r="I1103" s="13" t="n">
        <v>28</v>
      </c>
    </row>
    <row r="1104" customFormat="false" ht="15" hidden="false" customHeight="false" outlineLevel="0" collapsed="false">
      <c r="B1104" s="12" t="s">
        <v>46</v>
      </c>
      <c r="C1104" s="12" t="s">
        <v>380</v>
      </c>
      <c r="D1104" s="17" t="s">
        <v>381</v>
      </c>
      <c r="E1104" s="17"/>
      <c r="F1104" s="13" t="n">
        <v>4</v>
      </c>
      <c r="G1104" s="13" t="n">
        <v>0</v>
      </c>
      <c r="H1104" s="18" t="n">
        <f aca="false">N(G1104)-N(F1104)</f>
        <v>-4</v>
      </c>
      <c r="I1104" s="13"/>
    </row>
    <row r="1105" customFormat="false" ht="15" hidden="false" customHeight="false" outlineLevel="0" collapsed="false">
      <c r="B1105" s="12" t="s">
        <v>46</v>
      </c>
      <c r="C1105" s="12" t="s">
        <v>277</v>
      </c>
      <c r="D1105" s="17" t="s">
        <v>278</v>
      </c>
      <c r="E1105" s="17"/>
      <c r="F1105" s="13" t="n">
        <v>5</v>
      </c>
      <c r="G1105" s="13" t="n">
        <v>5</v>
      </c>
      <c r="H1105" s="18" t="n">
        <f aca="false">N(G1105)-N(F1105)</f>
        <v>0</v>
      </c>
      <c r="I1105" s="13"/>
    </row>
    <row r="1106" customFormat="false" ht="15" hidden="false" customHeight="false" outlineLevel="0" collapsed="false">
      <c r="B1106" s="12" t="s">
        <v>46</v>
      </c>
      <c r="C1106" s="12" t="s">
        <v>161</v>
      </c>
      <c r="D1106" s="17" t="s">
        <v>162</v>
      </c>
      <c r="E1106" s="17"/>
      <c r="F1106" s="13" t="n">
        <v>0</v>
      </c>
      <c r="G1106" s="13" t="n">
        <v>750</v>
      </c>
      <c r="H1106" s="18" t="n">
        <f aca="false">N(G1106)-N(F1106)</f>
        <v>750</v>
      </c>
      <c r="I1106" s="13"/>
    </row>
    <row r="1107" customFormat="false" ht="15" hidden="false" customHeight="false" outlineLevel="0" collapsed="false">
      <c r="B1107" s="12" t="s">
        <v>46</v>
      </c>
      <c r="C1107" s="12" t="s">
        <v>263</v>
      </c>
      <c r="D1107" s="17" t="s">
        <v>264</v>
      </c>
      <c r="E1107" s="17" t="s">
        <v>68</v>
      </c>
      <c r="F1107" s="13" t="n">
        <v>3</v>
      </c>
      <c r="G1107" s="13" t="n">
        <v>3</v>
      </c>
      <c r="H1107" s="18" t="n">
        <f aca="false">N(G1107)-N(F1107)</f>
        <v>0</v>
      </c>
      <c r="I1107" s="13" t="n">
        <v>3</v>
      </c>
    </row>
    <row r="1108" customFormat="false" ht="15" hidden="false" customHeight="false" outlineLevel="0" collapsed="false">
      <c r="B1108" s="12" t="s">
        <v>46</v>
      </c>
      <c r="C1108" s="12" t="s">
        <v>265</v>
      </c>
      <c r="D1108" s="17" t="s">
        <v>266</v>
      </c>
      <c r="E1108" s="17" t="s">
        <v>68</v>
      </c>
      <c r="F1108" s="13" t="n">
        <v>10</v>
      </c>
      <c r="G1108" s="13" t="n">
        <v>8</v>
      </c>
      <c r="H1108" s="18" t="n">
        <f aca="false">N(G1108)-N(F1108)</f>
        <v>-2</v>
      </c>
      <c r="I1108" s="13" t="n">
        <v>10</v>
      </c>
    </row>
    <row r="1109" customFormat="false" ht="15" hidden="false" customHeight="false" outlineLevel="0" collapsed="false">
      <c r="B1109" s="12" t="s">
        <v>46</v>
      </c>
      <c r="C1109" s="12" t="s">
        <v>666</v>
      </c>
      <c r="D1109" s="17" t="s">
        <v>667</v>
      </c>
      <c r="E1109" s="17"/>
      <c r="F1109" s="13" t="n">
        <v>0</v>
      </c>
      <c r="G1109" s="13" t="n">
        <v>1</v>
      </c>
      <c r="H1109" s="18" t="n">
        <f aca="false">N(G1109)-N(F1109)</f>
        <v>1</v>
      </c>
      <c r="I1109" s="13"/>
    </row>
    <row r="1110" customFormat="false" ht="15" hidden="false" customHeight="false" outlineLevel="0" collapsed="false">
      <c r="B1110" s="12" t="s">
        <v>46</v>
      </c>
      <c r="C1110" s="12" t="s">
        <v>226</v>
      </c>
      <c r="D1110" s="17" t="s">
        <v>227</v>
      </c>
      <c r="E1110" s="17" t="s">
        <v>68</v>
      </c>
      <c r="F1110" s="13" t="n">
        <v>3</v>
      </c>
      <c r="G1110" s="13" t="n">
        <v>3</v>
      </c>
      <c r="H1110" s="18" t="n">
        <f aca="false">N(G1110)-N(F1110)</f>
        <v>0</v>
      </c>
      <c r="I1110" s="13" t="n">
        <v>3</v>
      </c>
    </row>
    <row r="1111" customFormat="false" ht="15" hidden="false" customHeight="false" outlineLevel="0" collapsed="false">
      <c r="B1111" s="12" t="s">
        <v>46</v>
      </c>
      <c r="C1111" s="12" t="s">
        <v>280</v>
      </c>
      <c r="D1111" s="17" t="s">
        <v>227</v>
      </c>
      <c r="E1111" s="17" t="s">
        <v>68</v>
      </c>
      <c r="F1111" s="13" t="n">
        <v>3</v>
      </c>
      <c r="G1111" s="13" t="n">
        <v>3</v>
      </c>
      <c r="H1111" s="18" t="n">
        <f aca="false">N(G1111)-N(F1111)</f>
        <v>0</v>
      </c>
      <c r="I1111" s="13" t="n">
        <v>3</v>
      </c>
    </row>
    <row r="1112" customFormat="false" ht="15" hidden="false" customHeight="false" outlineLevel="0" collapsed="false">
      <c r="B1112" s="12" t="s">
        <v>47</v>
      </c>
      <c r="C1112" s="12" t="s">
        <v>66</v>
      </c>
      <c r="D1112" s="17" t="s">
        <v>67</v>
      </c>
      <c r="E1112" s="17"/>
      <c r="F1112" s="13" t="n">
        <v>0</v>
      </c>
      <c r="G1112" s="13" t="n">
        <v>6</v>
      </c>
      <c r="H1112" s="18" t="n">
        <f aca="false">N(G1112)-N(F1112)</f>
        <v>6</v>
      </c>
      <c r="I1112" s="13"/>
    </row>
    <row r="1113" customFormat="false" ht="15" hidden="false" customHeight="false" outlineLevel="0" collapsed="false">
      <c r="B1113" s="12" t="s">
        <v>47</v>
      </c>
      <c r="C1113" s="12" t="s">
        <v>129</v>
      </c>
      <c r="D1113" s="17" t="s">
        <v>130</v>
      </c>
      <c r="E1113" s="17"/>
      <c r="F1113" s="13" t="n">
        <v>0</v>
      </c>
      <c r="G1113" s="13" t="n">
        <v>2</v>
      </c>
      <c r="H1113" s="18" t="n">
        <f aca="false">N(G1113)-N(F1113)</f>
        <v>2</v>
      </c>
      <c r="I1113" s="13"/>
    </row>
    <row r="1114" customFormat="false" ht="15" hidden="false" customHeight="false" outlineLevel="0" collapsed="false">
      <c r="B1114" s="12" t="s">
        <v>47</v>
      </c>
      <c r="C1114" s="12" t="s">
        <v>234</v>
      </c>
      <c r="D1114" s="17" t="s">
        <v>235</v>
      </c>
      <c r="E1114" s="17"/>
      <c r="F1114" s="13" t="n">
        <v>0</v>
      </c>
      <c r="G1114" s="13" t="n">
        <v>1</v>
      </c>
      <c r="H1114" s="18" t="n">
        <f aca="false">N(G1114)-N(F1114)</f>
        <v>1</v>
      </c>
      <c r="I1114" s="13"/>
    </row>
    <row r="1115" customFormat="false" ht="15" hidden="false" customHeight="false" outlineLevel="0" collapsed="false">
      <c r="B1115" s="12" t="s">
        <v>47</v>
      </c>
      <c r="C1115" s="12" t="s">
        <v>70</v>
      </c>
      <c r="D1115" s="17" t="s">
        <v>71</v>
      </c>
      <c r="E1115" s="17" t="s">
        <v>68</v>
      </c>
      <c r="F1115" s="13" t="n">
        <v>367</v>
      </c>
      <c r="G1115" s="13" t="n">
        <v>222</v>
      </c>
      <c r="H1115" s="18" t="n">
        <f aca="false">N(G1115)-N(F1115)</f>
        <v>-145</v>
      </c>
      <c r="I1115" s="13" t="n">
        <v>367</v>
      </c>
    </row>
    <row r="1116" customFormat="false" ht="15" hidden="false" customHeight="false" outlineLevel="0" collapsed="false">
      <c r="B1116" s="12" t="s">
        <v>47</v>
      </c>
      <c r="C1116" s="12" t="s">
        <v>72</v>
      </c>
      <c r="D1116" s="17" t="s">
        <v>73</v>
      </c>
      <c r="E1116" s="17"/>
      <c r="F1116" s="13" t="n">
        <v>0</v>
      </c>
      <c r="G1116" s="13" t="n">
        <v>8</v>
      </c>
      <c r="H1116" s="18" t="n">
        <f aca="false">N(G1116)-N(F1116)</f>
        <v>8</v>
      </c>
      <c r="I1116" s="13"/>
    </row>
    <row r="1117" customFormat="false" ht="15" hidden="false" customHeight="false" outlineLevel="0" collapsed="false">
      <c r="B1117" s="12" t="s">
        <v>47</v>
      </c>
      <c r="C1117" s="12" t="s">
        <v>74</v>
      </c>
      <c r="D1117" s="17" t="s">
        <v>75</v>
      </c>
      <c r="E1117" s="17" t="s">
        <v>68</v>
      </c>
      <c r="F1117" s="13" t="n">
        <v>2</v>
      </c>
      <c r="G1117" s="13" t="n">
        <v>4</v>
      </c>
      <c r="H1117" s="18" t="n">
        <f aca="false">N(G1117)-N(F1117)</f>
        <v>2</v>
      </c>
      <c r="I1117" s="13" t="n">
        <v>2</v>
      </c>
    </row>
    <row r="1118" customFormat="false" ht="15" hidden="false" customHeight="false" outlineLevel="0" collapsed="false">
      <c r="B1118" s="12" t="s">
        <v>47</v>
      </c>
      <c r="C1118" s="12" t="s">
        <v>167</v>
      </c>
      <c r="D1118" s="17" t="s">
        <v>168</v>
      </c>
      <c r="E1118" s="17" t="s">
        <v>68</v>
      </c>
      <c r="F1118" s="13" t="n">
        <v>14</v>
      </c>
      <c r="G1118" s="13" t="n">
        <v>6</v>
      </c>
      <c r="H1118" s="18" t="n">
        <f aca="false">N(G1118)-N(F1118)</f>
        <v>-8</v>
      </c>
      <c r="I1118" s="13" t="n">
        <v>14</v>
      </c>
    </row>
    <row r="1119" customFormat="false" ht="15" hidden="false" customHeight="false" outlineLevel="0" collapsed="false">
      <c r="B1119" s="12" t="s">
        <v>47</v>
      </c>
      <c r="C1119" s="12" t="s">
        <v>76</v>
      </c>
      <c r="D1119" s="17" t="s">
        <v>77</v>
      </c>
      <c r="E1119" s="17" t="s">
        <v>68</v>
      </c>
      <c r="F1119" s="13" t="n">
        <v>40</v>
      </c>
      <c r="G1119" s="13" t="n">
        <v>14</v>
      </c>
      <c r="H1119" s="18" t="n">
        <f aca="false">N(G1119)-N(F1119)</f>
        <v>-26</v>
      </c>
      <c r="I1119" s="13" t="n">
        <v>40</v>
      </c>
    </row>
    <row r="1120" customFormat="false" ht="15" hidden="false" customHeight="false" outlineLevel="0" collapsed="false">
      <c r="B1120" s="12" t="s">
        <v>47</v>
      </c>
      <c r="C1120" s="12" t="s">
        <v>78</v>
      </c>
      <c r="D1120" s="17" t="s">
        <v>79</v>
      </c>
      <c r="E1120" s="17" t="s">
        <v>68</v>
      </c>
      <c r="F1120" s="13" t="n">
        <v>175</v>
      </c>
      <c r="G1120" s="13" t="n">
        <v>131</v>
      </c>
      <c r="H1120" s="18" t="n">
        <f aca="false">N(G1120)-N(F1120)</f>
        <v>-44</v>
      </c>
      <c r="I1120" s="13" t="n">
        <v>175</v>
      </c>
    </row>
    <row r="1121" customFormat="false" ht="15" hidden="false" customHeight="false" outlineLevel="0" collapsed="false">
      <c r="B1121" s="12" t="s">
        <v>47</v>
      </c>
      <c r="C1121" s="12" t="s">
        <v>80</v>
      </c>
      <c r="D1121" s="17" t="s">
        <v>81</v>
      </c>
      <c r="E1121" s="17" t="s">
        <v>68</v>
      </c>
      <c r="F1121" s="13" t="n">
        <v>250</v>
      </c>
      <c r="G1121" s="13" t="n">
        <v>125</v>
      </c>
      <c r="H1121" s="18" t="n">
        <f aca="false">N(G1121)-N(F1121)</f>
        <v>-125</v>
      </c>
      <c r="I1121" s="13" t="n">
        <v>250</v>
      </c>
    </row>
    <row r="1122" customFormat="false" ht="15" hidden="false" customHeight="false" outlineLevel="0" collapsed="false">
      <c r="B1122" s="12" t="s">
        <v>47</v>
      </c>
      <c r="C1122" s="12" t="s">
        <v>82</v>
      </c>
      <c r="D1122" s="17" t="s">
        <v>83</v>
      </c>
      <c r="E1122" s="17"/>
      <c r="F1122" s="13" t="n">
        <v>0</v>
      </c>
      <c r="G1122" s="13" t="n">
        <v>9</v>
      </c>
      <c r="H1122" s="18" t="n">
        <f aca="false">N(G1122)-N(F1122)</f>
        <v>9</v>
      </c>
      <c r="I1122" s="13"/>
    </row>
    <row r="1123" customFormat="false" ht="15" hidden="false" customHeight="false" outlineLevel="0" collapsed="false">
      <c r="B1123" s="12" t="s">
        <v>47</v>
      </c>
      <c r="C1123" s="12" t="s">
        <v>316</v>
      </c>
      <c r="D1123" s="17" t="s">
        <v>317</v>
      </c>
      <c r="E1123" s="17"/>
      <c r="F1123" s="13" t="n">
        <v>0</v>
      </c>
      <c r="G1123" s="13" t="n">
        <v>96</v>
      </c>
      <c r="H1123" s="18" t="n">
        <f aca="false">N(G1123)-N(F1123)</f>
        <v>96</v>
      </c>
      <c r="I1123" s="13"/>
    </row>
    <row r="1124" customFormat="false" ht="15" hidden="false" customHeight="false" outlineLevel="0" collapsed="false">
      <c r="B1124" s="12" t="s">
        <v>47</v>
      </c>
      <c r="C1124" s="12" t="s">
        <v>84</v>
      </c>
      <c r="D1124" s="17" t="s">
        <v>85</v>
      </c>
      <c r="E1124" s="17" t="s">
        <v>68</v>
      </c>
      <c r="F1124" s="13" t="n">
        <v>51</v>
      </c>
      <c r="G1124" s="13" t="n">
        <v>35</v>
      </c>
      <c r="H1124" s="18" t="n">
        <f aca="false">N(G1124)-N(F1124)</f>
        <v>-16</v>
      </c>
      <c r="I1124" s="13" t="n">
        <v>51</v>
      </c>
    </row>
    <row r="1125" customFormat="false" ht="15" hidden="false" customHeight="false" outlineLevel="0" collapsed="false">
      <c r="B1125" s="12" t="s">
        <v>47</v>
      </c>
      <c r="C1125" s="12" t="s">
        <v>86</v>
      </c>
      <c r="D1125" s="17" t="s">
        <v>87</v>
      </c>
      <c r="E1125" s="17"/>
      <c r="F1125" s="13" t="n">
        <v>0</v>
      </c>
      <c r="G1125" s="13" t="n">
        <v>20</v>
      </c>
      <c r="H1125" s="18" t="n">
        <f aca="false">N(G1125)-N(F1125)</f>
        <v>20</v>
      </c>
      <c r="I1125" s="13"/>
    </row>
    <row r="1126" customFormat="false" ht="15" hidden="false" customHeight="false" outlineLevel="0" collapsed="false">
      <c r="B1126" s="12" t="s">
        <v>47</v>
      </c>
      <c r="C1126" s="12" t="s">
        <v>392</v>
      </c>
      <c r="D1126" s="17" t="s">
        <v>393</v>
      </c>
      <c r="E1126" s="17"/>
      <c r="F1126" s="13" t="n">
        <v>0</v>
      </c>
      <c r="G1126" s="13" t="n">
        <v>1</v>
      </c>
      <c r="H1126" s="18" t="n">
        <f aca="false">N(G1126)-N(F1126)</f>
        <v>1</v>
      </c>
      <c r="I1126" s="13"/>
    </row>
    <row r="1127" customFormat="false" ht="15" hidden="false" customHeight="false" outlineLevel="0" collapsed="false">
      <c r="B1127" s="12" t="s">
        <v>47</v>
      </c>
      <c r="C1127" s="12" t="s">
        <v>132</v>
      </c>
      <c r="D1127" s="17" t="s">
        <v>133</v>
      </c>
      <c r="E1127" s="17" t="s">
        <v>68</v>
      </c>
      <c r="F1127" s="13" t="n">
        <v>60</v>
      </c>
      <c r="G1127" s="13" t="n">
        <v>39</v>
      </c>
      <c r="H1127" s="18" t="n">
        <f aca="false">N(G1127)-N(F1127)</f>
        <v>-21</v>
      </c>
      <c r="I1127" s="13" t="n">
        <v>60</v>
      </c>
    </row>
    <row r="1128" customFormat="false" ht="15" hidden="false" customHeight="false" outlineLevel="0" collapsed="false">
      <c r="B1128" s="12" t="s">
        <v>47</v>
      </c>
      <c r="C1128" s="12" t="s">
        <v>294</v>
      </c>
      <c r="D1128" s="17" t="s">
        <v>295</v>
      </c>
      <c r="E1128" s="17"/>
      <c r="F1128" s="13" t="n">
        <v>6</v>
      </c>
      <c r="G1128" s="13" t="n">
        <v>0</v>
      </c>
      <c r="H1128" s="18" t="n">
        <f aca="false">N(G1128)-N(F1128)</f>
        <v>-6</v>
      </c>
      <c r="I1128" s="13"/>
    </row>
    <row r="1129" customFormat="false" ht="15" hidden="false" customHeight="false" outlineLevel="0" collapsed="false">
      <c r="B1129" s="12" t="s">
        <v>47</v>
      </c>
      <c r="C1129" s="12" t="s">
        <v>110</v>
      </c>
      <c r="D1129" s="17" t="s">
        <v>111</v>
      </c>
      <c r="E1129" s="17"/>
      <c r="F1129" s="13" t="n">
        <v>0</v>
      </c>
      <c r="G1129" s="13" t="n">
        <v>1</v>
      </c>
      <c r="H1129" s="18" t="n">
        <f aca="false">N(G1129)-N(F1129)</f>
        <v>1</v>
      </c>
      <c r="I1129" s="13"/>
    </row>
    <row r="1130" customFormat="false" ht="15" hidden="false" customHeight="false" outlineLevel="0" collapsed="false">
      <c r="B1130" s="12" t="s">
        <v>47</v>
      </c>
      <c r="C1130" s="12" t="s">
        <v>170</v>
      </c>
      <c r="D1130" s="17" t="s">
        <v>171</v>
      </c>
      <c r="E1130" s="17"/>
      <c r="F1130" s="13" t="n">
        <v>42</v>
      </c>
      <c r="G1130" s="13" t="n">
        <v>30</v>
      </c>
      <c r="H1130" s="18" t="n">
        <f aca="false">N(G1130)-N(F1130)</f>
        <v>-12</v>
      </c>
      <c r="I1130" s="13"/>
    </row>
    <row r="1131" customFormat="false" ht="15" hidden="false" customHeight="false" outlineLevel="0" collapsed="false">
      <c r="B1131" s="12" t="s">
        <v>47</v>
      </c>
      <c r="C1131" s="12" t="s">
        <v>88</v>
      </c>
      <c r="D1131" s="17" t="s">
        <v>89</v>
      </c>
      <c r="E1131" s="17" t="s">
        <v>68</v>
      </c>
      <c r="F1131" s="13" t="n">
        <v>145</v>
      </c>
      <c r="G1131" s="13" t="n">
        <v>90</v>
      </c>
      <c r="H1131" s="18" t="n">
        <f aca="false">N(G1131)-N(F1131)</f>
        <v>-55</v>
      </c>
      <c r="I1131" s="13" t="n">
        <v>145</v>
      </c>
    </row>
    <row r="1132" customFormat="false" ht="15" hidden="false" customHeight="false" outlineLevel="0" collapsed="false">
      <c r="B1132" s="12" t="s">
        <v>47</v>
      </c>
      <c r="C1132" s="12" t="s">
        <v>90</v>
      </c>
      <c r="D1132" s="17" t="s">
        <v>91</v>
      </c>
      <c r="E1132" s="17" t="s">
        <v>68</v>
      </c>
      <c r="F1132" s="13" t="n">
        <v>9</v>
      </c>
      <c r="G1132" s="13" t="n">
        <v>5</v>
      </c>
      <c r="H1132" s="18" t="n">
        <f aca="false">N(G1132)-N(F1132)</f>
        <v>-4</v>
      </c>
      <c r="I1132" s="13" t="n">
        <v>9</v>
      </c>
    </row>
    <row r="1133" customFormat="false" ht="15" hidden="false" customHeight="false" outlineLevel="0" collapsed="false">
      <c r="B1133" s="12" t="s">
        <v>47</v>
      </c>
      <c r="C1133" s="12" t="s">
        <v>322</v>
      </c>
      <c r="D1133" s="17" t="s">
        <v>323</v>
      </c>
      <c r="E1133" s="17"/>
      <c r="F1133" s="13" t="n">
        <v>200</v>
      </c>
      <c r="G1133" s="13" t="n">
        <v>0</v>
      </c>
      <c r="H1133" s="18" t="n">
        <f aca="false">N(G1133)-N(F1133)</f>
        <v>-200</v>
      </c>
      <c r="I1133" s="13"/>
    </row>
    <row r="1134" customFormat="false" ht="15" hidden="false" customHeight="false" outlineLevel="0" collapsed="false">
      <c r="B1134" s="12" t="s">
        <v>47</v>
      </c>
      <c r="C1134" s="12" t="s">
        <v>92</v>
      </c>
      <c r="D1134" s="17" t="s">
        <v>93</v>
      </c>
      <c r="E1134" s="17"/>
      <c r="F1134" s="13" t="n">
        <v>0</v>
      </c>
      <c r="G1134" s="13" t="n">
        <v>130</v>
      </c>
      <c r="H1134" s="18" t="n">
        <f aca="false">N(G1134)-N(F1134)</f>
        <v>130</v>
      </c>
      <c r="I1134" s="13"/>
    </row>
    <row r="1135" customFormat="false" ht="15" hidden="false" customHeight="false" outlineLevel="0" collapsed="false">
      <c r="B1135" s="12" t="s">
        <v>47</v>
      </c>
      <c r="C1135" s="12" t="s">
        <v>95</v>
      </c>
      <c r="D1135" s="17" t="s">
        <v>96</v>
      </c>
      <c r="E1135" s="17"/>
      <c r="F1135" s="13" t="n">
        <v>0</v>
      </c>
      <c r="G1135" s="13" t="n">
        <v>4</v>
      </c>
      <c r="H1135" s="18" t="n">
        <f aca="false">N(G1135)-N(F1135)</f>
        <v>4</v>
      </c>
      <c r="I1135" s="13"/>
    </row>
    <row r="1136" customFormat="false" ht="15" hidden="false" customHeight="false" outlineLevel="0" collapsed="false">
      <c r="B1136" s="12" t="s">
        <v>47</v>
      </c>
      <c r="C1136" s="12" t="s">
        <v>97</v>
      </c>
      <c r="D1136" s="17" t="s">
        <v>98</v>
      </c>
      <c r="E1136" s="17" t="s">
        <v>68</v>
      </c>
      <c r="F1136" s="13" t="n">
        <v>4</v>
      </c>
      <c r="G1136" s="13" t="n">
        <v>16</v>
      </c>
      <c r="H1136" s="18" t="n">
        <f aca="false">N(G1136)-N(F1136)</f>
        <v>12</v>
      </c>
      <c r="I1136" s="13" t="n">
        <v>4</v>
      </c>
    </row>
    <row r="1137" customFormat="false" ht="15" hidden="false" customHeight="false" outlineLevel="0" collapsed="false">
      <c r="B1137" s="12" t="s">
        <v>47</v>
      </c>
      <c r="C1137" s="12" t="s">
        <v>327</v>
      </c>
      <c r="D1137" s="17" t="s">
        <v>328</v>
      </c>
      <c r="E1137" s="17"/>
      <c r="F1137" s="13" t="n">
        <v>0</v>
      </c>
      <c r="G1137" s="13" t="n">
        <v>6</v>
      </c>
      <c r="H1137" s="18" t="n">
        <f aca="false">N(G1137)-N(F1137)</f>
        <v>6</v>
      </c>
      <c r="I1137" s="13"/>
    </row>
    <row r="1138" customFormat="false" ht="15" hidden="false" customHeight="false" outlineLevel="0" collapsed="false">
      <c r="B1138" s="12" t="s">
        <v>47</v>
      </c>
      <c r="C1138" s="12" t="s">
        <v>457</v>
      </c>
      <c r="D1138" s="17" t="s">
        <v>458</v>
      </c>
      <c r="E1138" s="17"/>
      <c r="F1138" s="13" t="n">
        <v>0</v>
      </c>
      <c r="G1138" s="13" t="n">
        <v>15</v>
      </c>
      <c r="H1138" s="18" t="n">
        <f aca="false">N(G1138)-N(F1138)</f>
        <v>15</v>
      </c>
      <c r="I1138" s="13"/>
    </row>
    <row r="1139" customFormat="false" ht="15" hidden="false" customHeight="false" outlineLevel="0" collapsed="false">
      <c r="B1139" s="12" t="s">
        <v>47</v>
      </c>
      <c r="C1139" s="12" t="s">
        <v>201</v>
      </c>
      <c r="D1139" s="17" t="s">
        <v>202</v>
      </c>
      <c r="E1139" s="17" t="s">
        <v>68</v>
      </c>
      <c r="F1139" s="13" t="n">
        <v>42</v>
      </c>
      <c r="G1139" s="13" t="n">
        <v>32</v>
      </c>
      <c r="H1139" s="18" t="n">
        <f aca="false">N(G1139)-N(F1139)</f>
        <v>-10</v>
      </c>
      <c r="I1139" s="13" t="n">
        <v>42</v>
      </c>
    </row>
    <row r="1140" customFormat="false" ht="15" hidden="false" customHeight="false" outlineLevel="0" collapsed="false">
      <c r="B1140" s="12" t="s">
        <v>47</v>
      </c>
      <c r="C1140" s="12" t="s">
        <v>138</v>
      </c>
      <c r="D1140" s="17" t="s">
        <v>139</v>
      </c>
      <c r="E1140" s="17" t="s">
        <v>68</v>
      </c>
      <c r="F1140" s="13" t="n">
        <v>6</v>
      </c>
      <c r="G1140" s="13" t="n">
        <v>0</v>
      </c>
      <c r="H1140" s="18" t="n">
        <f aca="false">N(G1140)-N(F1140)</f>
        <v>-6</v>
      </c>
      <c r="I1140" s="13" t="n">
        <v>6</v>
      </c>
    </row>
    <row r="1141" customFormat="false" ht="15" hidden="false" customHeight="false" outlineLevel="0" collapsed="false">
      <c r="B1141" s="12" t="s">
        <v>47</v>
      </c>
      <c r="C1141" s="12" t="s">
        <v>113</v>
      </c>
      <c r="D1141" s="17" t="s">
        <v>114</v>
      </c>
      <c r="E1141" s="17" t="s">
        <v>68</v>
      </c>
      <c r="F1141" s="13" t="n">
        <v>145</v>
      </c>
      <c r="G1141" s="13" t="n">
        <v>81</v>
      </c>
      <c r="H1141" s="18" t="n">
        <f aca="false">N(G1141)-N(F1141)</f>
        <v>-64</v>
      </c>
      <c r="I1141" s="13" t="n">
        <v>145</v>
      </c>
    </row>
    <row r="1142" customFormat="false" ht="15" hidden="false" customHeight="false" outlineLevel="0" collapsed="false">
      <c r="B1142" s="12" t="s">
        <v>47</v>
      </c>
      <c r="C1142" s="12" t="s">
        <v>329</v>
      </c>
      <c r="D1142" s="17" t="s">
        <v>330</v>
      </c>
      <c r="E1142" s="17"/>
      <c r="F1142" s="13" t="n">
        <v>0</v>
      </c>
      <c r="G1142" s="13" t="n">
        <v>16</v>
      </c>
      <c r="H1142" s="18" t="n">
        <f aca="false">N(G1142)-N(F1142)</f>
        <v>16</v>
      </c>
      <c r="I1142" s="13"/>
    </row>
    <row r="1143" customFormat="false" ht="15" hidden="false" customHeight="false" outlineLevel="0" collapsed="false">
      <c r="B1143" s="12" t="s">
        <v>47</v>
      </c>
      <c r="C1143" s="12" t="s">
        <v>304</v>
      </c>
      <c r="D1143" s="17" t="s">
        <v>305</v>
      </c>
      <c r="E1143" s="17" t="s">
        <v>68</v>
      </c>
      <c r="F1143" s="13" t="n">
        <v>21</v>
      </c>
      <c r="G1143" s="13" t="n">
        <v>16</v>
      </c>
      <c r="H1143" s="18" t="n">
        <f aca="false">N(G1143)-N(F1143)</f>
        <v>-5</v>
      </c>
      <c r="I1143" s="13" t="n">
        <v>21</v>
      </c>
    </row>
    <row r="1144" customFormat="false" ht="15" hidden="false" customHeight="false" outlineLevel="0" collapsed="false">
      <c r="B1144" s="12" t="s">
        <v>47</v>
      </c>
      <c r="C1144" s="12" t="s">
        <v>332</v>
      </c>
      <c r="D1144" s="17" t="s">
        <v>333</v>
      </c>
      <c r="E1144" s="17"/>
      <c r="F1144" s="13" t="n">
        <v>0</v>
      </c>
      <c r="G1144" s="13" t="n">
        <v>16</v>
      </c>
      <c r="H1144" s="18" t="n">
        <f aca="false">N(G1144)-N(F1144)</f>
        <v>16</v>
      </c>
      <c r="I1144" s="13"/>
    </row>
    <row r="1145" customFormat="false" ht="15" hidden="false" customHeight="false" outlineLevel="0" collapsed="false">
      <c r="B1145" s="12" t="s">
        <v>47</v>
      </c>
      <c r="C1145" s="12" t="s">
        <v>369</v>
      </c>
      <c r="D1145" s="17" t="s">
        <v>370</v>
      </c>
      <c r="E1145" s="17"/>
      <c r="F1145" s="13" t="n">
        <v>0</v>
      </c>
      <c r="G1145" s="13" t="n">
        <v>1</v>
      </c>
      <c r="H1145" s="18" t="n">
        <f aca="false">N(G1145)-N(F1145)</f>
        <v>1</v>
      </c>
      <c r="I1145" s="13"/>
    </row>
    <row r="1146" customFormat="false" ht="15" hidden="false" customHeight="false" outlineLevel="0" collapsed="false">
      <c r="B1146" s="12" t="s">
        <v>47</v>
      </c>
      <c r="C1146" s="12" t="s">
        <v>118</v>
      </c>
      <c r="D1146" s="17" t="s">
        <v>119</v>
      </c>
      <c r="E1146" s="17" t="s">
        <v>68</v>
      </c>
      <c r="F1146" s="13" t="n">
        <v>55</v>
      </c>
      <c r="G1146" s="13" t="n">
        <v>52</v>
      </c>
      <c r="H1146" s="18" t="n">
        <f aca="false">N(G1146)-N(F1146)</f>
        <v>-3</v>
      </c>
      <c r="I1146" s="13" t="n">
        <v>55</v>
      </c>
    </row>
    <row r="1147" customFormat="false" ht="15" hidden="false" customHeight="false" outlineLevel="0" collapsed="false">
      <c r="B1147" s="12" t="s">
        <v>47</v>
      </c>
      <c r="C1147" s="12" t="s">
        <v>334</v>
      </c>
      <c r="D1147" s="17" t="s">
        <v>335</v>
      </c>
      <c r="E1147" s="17"/>
      <c r="F1147" s="13" t="n">
        <v>0</v>
      </c>
      <c r="G1147" s="13" t="n">
        <v>12</v>
      </c>
      <c r="H1147" s="18" t="n">
        <f aca="false">N(G1147)-N(F1147)</f>
        <v>12</v>
      </c>
      <c r="I1147" s="13"/>
    </row>
    <row r="1148" customFormat="false" ht="15" hidden="false" customHeight="false" outlineLevel="0" collapsed="false">
      <c r="B1148" s="12" t="s">
        <v>47</v>
      </c>
      <c r="C1148" s="12" t="s">
        <v>99</v>
      </c>
      <c r="D1148" s="17" t="s">
        <v>100</v>
      </c>
      <c r="E1148" s="17" t="s">
        <v>68</v>
      </c>
      <c r="F1148" s="13" t="n">
        <v>58</v>
      </c>
      <c r="G1148" s="13" t="n">
        <v>59</v>
      </c>
      <c r="H1148" s="18" t="n">
        <f aca="false">N(G1148)-N(F1148)</f>
        <v>1</v>
      </c>
      <c r="I1148" s="13" t="n">
        <v>58</v>
      </c>
    </row>
    <row r="1149" customFormat="false" ht="15" hidden="false" customHeight="false" outlineLevel="0" collapsed="false">
      <c r="B1149" s="12" t="s">
        <v>47</v>
      </c>
      <c r="C1149" s="12" t="s">
        <v>101</v>
      </c>
      <c r="D1149" s="17" t="s">
        <v>102</v>
      </c>
      <c r="E1149" s="17"/>
      <c r="F1149" s="13" t="n">
        <v>0</v>
      </c>
      <c r="G1149" s="13" t="n">
        <v>6</v>
      </c>
      <c r="H1149" s="18" t="n">
        <f aca="false">N(G1149)-N(F1149)</f>
        <v>6</v>
      </c>
      <c r="I1149" s="13"/>
    </row>
    <row r="1150" customFormat="false" ht="15" hidden="false" customHeight="false" outlineLevel="0" collapsed="false">
      <c r="B1150" s="12" t="s">
        <v>47</v>
      </c>
      <c r="C1150" s="12" t="s">
        <v>121</v>
      </c>
      <c r="D1150" s="17" t="s">
        <v>122</v>
      </c>
      <c r="E1150" s="17" t="s">
        <v>68</v>
      </c>
      <c r="F1150" s="13" t="n">
        <v>18</v>
      </c>
      <c r="G1150" s="13" t="n">
        <v>29</v>
      </c>
      <c r="H1150" s="18" t="n">
        <f aca="false">N(G1150)-N(F1150)</f>
        <v>11</v>
      </c>
      <c r="I1150" s="13" t="n">
        <v>18</v>
      </c>
    </row>
    <row r="1151" customFormat="false" ht="15" hidden="false" customHeight="false" outlineLevel="0" collapsed="false">
      <c r="B1151" s="12" t="s">
        <v>47</v>
      </c>
      <c r="C1151" s="12" t="s">
        <v>245</v>
      </c>
      <c r="D1151" s="17" t="s">
        <v>246</v>
      </c>
      <c r="E1151" s="17"/>
      <c r="F1151" s="13" t="n">
        <v>0</v>
      </c>
      <c r="G1151" s="13" t="n">
        <v>12</v>
      </c>
      <c r="H1151" s="18" t="n">
        <f aca="false">N(G1151)-N(F1151)</f>
        <v>12</v>
      </c>
      <c r="I1151" s="13"/>
    </row>
    <row r="1152" customFormat="false" ht="15" hidden="false" customHeight="false" outlineLevel="0" collapsed="false">
      <c r="B1152" s="12" t="s">
        <v>47</v>
      </c>
      <c r="C1152" s="12" t="s">
        <v>141</v>
      </c>
      <c r="D1152" s="17" t="s">
        <v>142</v>
      </c>
      <c r="E1152" s="17"/>
      <c r="F1152" s="13" t="n">
        <v>0</v>
      </c>
      <c r="G1152" s="13" t="n">
        <v>1</v>
      </c>
      <c r="H1152" s="18" t="n">
        <f aca="false">N(G1152)-N(F1152)</f>
        <v>1</v>
      </c>
      <c r="I1152" s="13"/>
    </row>
    <row r="1153" customFormat="false" ht="15" hidden="false" customHeight="false" outlineLevel="0" collapsed="false">
      <c r="B1153" s="12" t="s">
        <v>47</v>
      </c>
      <c r="C1153" s="12" t="s">
        <v>212</v>
      </c>
      <c r="D1153" s="17" t="s">
        <v>213</v>
      </c>
      <c r="E1153" s="17"/>
      <c r="F1153" s="13" t="n">
        <v>1</v>
      </c>
      <c r="G1153" s="13" t="n">
        <v>0</v>
      </c>
      <c r="H1153" s="18" t="n">
        <f aca="false">N(G1153)-N(F1153)</f>
        <v>-1</v>
      </c>
      <c r="I1153" s="13"/>
    </row>
    <row r="1154" customFormat="false" ht="15" hidden="false" customHeight="false" outlineLevel="0" collapsed="false">
      <c r="B1154" s="12" t="s">
        <v>47</v>
      </c>
      <c r="C1154" s="12" t="s">
        <v>103</v>
      </c>
      <c r="D1154" s="17" t="s">
        <v>104</v>
      </c>
      <c r="E1154" s="17" t="s">
        <v>68</v>
      </c>
      <c r="F1154" s="13" t="n">
        <v>187</v>
      </c>
      <c r="G1154" s="13" t="n">
        <v>73</v>
      </c>
      <c r="H1154" s="18" t="n">
        <f aca="false">N(G1154)-N(F1154)</f>
        <v>-114</v>
      </c>
      <c r="I1154" s="13" t="n">
        <v>187</v>
      </c>
    </row>
    <row r="1155" customFormat="false" ht="15" hidden="false" customHeight="false" outlineLevel="0" collapsed="false">
      <c r="B1155" s="12" t="s">
        <v>47</v>
      </c>
      <c r="C1155" s="12" t="s">
        <v>143</v>
      </c>
      <c r="D1155" s="17" t="s">
        <v>144</v>
      </c>
      <c r="E1155" s="17"/>
      <c r="F1155" s="13" t="n">
        <v>0</v>
      </c>
      <c r="G1155" s="13" t="n">
        <v>3</v>
      </c>
      <c r="H1155" s="18" t="n">
        <f aca="false">N(G1155)-N(F1155)</f>
        <v>3</v>
      </c>
      <c r="I1155" s="13"/>
    </row>
    <row r="1156" customFormat="false" ht="15" hidden="false" customHeight="false" outlineLevel="0" collapsed="false">
      <c r="B1156" s="12" t="s">
        <v>47</v>
      </c>
      <c r="C1156" s="12" t="s">
        <v>146</v>
      </c>
      <c r="D1156" s="17" t="s">
        <v>147</v>
      </c>
      <c r="E1156" s="17" t="s">
        <v>68</v>
      </c>
      <c r="F1156" s="13" t="n">
        <v>2</v>
      </c>
      <c r="G1156" s="13" t="n">
        <v>1</v>
      </c>
      <c r="H1156" s="18" t="n">
        <f aca="false">N(G1156)-N(F1156)</f>
        <v>-1</v>
      </c>
      <c r="I1156" s="13" t="n">
        <v>2</v>
      </c>
    </row>
    <row r="1157" customFormat="false" ht="15" hidden="false" customHeight="false" outlineLevel="0" collapsed="false">
      <c r="B1157" s="12" t="s">
        <v>47</v>
      </c>
      <c r="C1157" s="12" t="s">
        <v>148</v>
      </c>
      <c r="D1157" s="17" t="s">
        <v>149</v>
      </c>
      <c r="E1157" s="17" t="s">
        <v>68</v>
      </c>
      <c r="F1157" s="13" t="n">
        <v>60</v>
      </c>
      <c r="G1157" s="13" t="n">
        <v>60</v>
      </c>
      <c r="H1157" s="18" t="n">
        <f aca="false">N(G1157)-N(F1157)</f>
        <v>0</v>
      </c>
      <c r="I1157" s="13" t="n">
        <v>60</v>
      </c>
    </row>
    <row r="1158" customFormat="false" ht="15" hidden="false" customHeight="false" outlineLevel="0" collapsed="false">
      <c r="B1158" s="12" t="s">
        <v>47</v>
      </c>
      <c r="C1158" s="12" t="s">
        <v>345</v>
      </c>
      <c r="D1158" s="17" t="s">
        <v>346</v>
      </c>
      <c r="E1158" s="17"/>
      <c r="F1158" s="13" t="n">
        <v>0</v>
      </c>
      <c r="G1158" s="13" t="n">
        <v>24</v>
      </c>
      <c r="H1158" s="18" t="n">
        <f aca="false">N(G1158)-N(F1158)</f>
        <v>24</v>
      </c>
      <c r="I1158" s="13"/>
    </row>
    <row r="1159" customFormat="false" ht="15" hidden="false" customHeight="false" outlineLevel="0" collapsed="false">
      <c r="B1159" s="12" t="s">
        <v>47</v>
      </c>
      <c r="C1159" s="12" t="s">
        <v>347</v>
      </c>
      <c r="D1159" s="17" t="s">
        <v>348</v>
      </c>
      <c r="E1159" s="17"/>
      <c r="F1159" s="13" t="n">
        <v>180</v>
      </c>
      <c r="G1159" s="13" t="n">
        <v>144</v>
      </c>
      <c r="H1159" s="18" t="n">
        <f aca="false">N(G1159)-N(F1159)</f>
        <v>-36</v>
      </c>
      <c r="I1159" s="13"/>
    </row>
    <row r="1160" customFormat="false" ht="15" hidden="false" customHeight="false" outlineLevel="0" collapsed="false">
      <c r="B1160" s="12" t="s">
        <v>47</v>
      </c>
      <c r="C1160" s="12" t="s">
        <v>350</v>
      </c>
      <c r="D1160" s="17" t="s">
        <v>351</v>
      </c>
      <c r="E1160" s="17" t="s">
        <v>68</v>
      </c>
      <c r="F1160" s="13" t="n">
        <v>21</v>
      </c>
      <c r="G1160" s="13" t="n">
        <v>0</v>
      </c>
      <c r="H1160" s="18" t="n">
        <f aca="false">N(G1160)-N(F1160)</f>
        <v>-21</v>
      </c>
      <c r="I1160" s="13" t="n">
        <v>21</v>
      </c>
    </row>
    <row r="1161" customFormat="false" ht="15" hidden="false" customHeight="false" outlineLevel="0" collapsed="false">
      <c r="B1161" s="12" t="s">
        <v>47</v>
      </c>
      <c r="C1161" s="12" t="s">
        <v>123</v>
      </c>
      <c r="D1161" s="17" t="s">
        <v>124</v>
      </c>
      <c r="E1161" s="17"/>
      <c r="F1161" s="13" t="n">
        <v>400</v>
      </c>
      <c r="G1161" s="13" t="n">
        <v>237</v>
      </c>
      <c r="H1161" s="18" t="n">
        <f aca="false">N(G1161)-N(F1161)</f>
        <v>-163</v>
      </c>
      <c r="I1161" s="13"/>
    </row>
    <row r="1162" customFormat="false" ht="15" hidden="false" customHeight="false" outlineLevel="0" collapsed="false">
      <c r="B1162" s="12" t="s">
        <v>47</v>
      </c>
      <c r="C1162" s="12" t="s">
        <v>352</v>
      </c>
      <c r="D1162" s="17" t="s">
        <v>353</v>
      </c>
      <c r="E1162" s="17"/>
      <c r="F1162" s="13" t="n">
        <v>0</v>
      </c>
      <c r="G1162" s="13" t="n">
        <v>24</v>
      </c>
      <c r="H1162" s="18" t="n">
        <f aca="false">N(G1162)-N(F1162)</f>
        <v>24</v>
      </c>
      <c r="I1162" s="13"/>
    </row>
    <row r="1163" customFormat="false" ht="15" hidden="false" customHeight="false" outlineLevel="0" collapsed="false">
      <c r="B1163" s="12" t="s">
        <v>47</v>
      </c>
      <c r="C1163" s="12" t="s">
        <v>105</v>
      </c>
      <c r="D1163" s="17" t="s">
        <v>106</v>
      </c>
      <c r="E1163" s="17"/>
      <c r="F1163" s="13" t="n">
        <v>0</v>
      </c>
      <c r="G1163" s="13" t="n">
        <v>9</v>
      </c>
      <c r="H1163" s="18" t="n">
        <f aca="false">N(G1163)-N(F1163)</f>
        <v>9</v>
      </c>
      <c r="I1163" s="13"/>
    </row>
    <row r="1164" customFormat="false" ht="15" hidden="false" customHeight="false" outlineLevel="0" collapsed="false">
      <c r="B1164" s="12" t="s">
        <v>47</v>
      </c>
      <c r="C1164" s="12" t="s">
        <v>107</v>
      </c>
      <c r="D1164" s="17" t="s">
        <v>108</v>
      </c>
      <c r="E1164" s="17"/>
      <c r="F1164" s="13" t="n">
        <v>0</v>
      </c>
      <c r="G1164" s="13" t="n">
        <v>2</v>
      </c>
      <c r="H1164" s="18" t="n">
        <f aca="false">N(G1164)-N(F1164)</f>
        <v>2</v>
      </c>
      <c r="I1164" s="13"/>
    </row>
    <row r="1165" customFormat="false" ht="15" hidden="false" customHeight="false" outlineLevel="0" collapsed="false">
      <c r="B1165" s="12" t="s">
        <v>47</v>
      </c>
      <c r="C1165" s="12" t="s">
        <v>375</v>
      </c>
      <c r="D1165" s="17" t="s">
        <v>376</v>
      </c>
      <c r="E1165" s="17" t="s">
        <v>68</v>
      </c>
      <c r="F1165" s="13" t="n">
        <v>20</v>
      </c>
      <c r="G1165" s="13" t="n">
        <v>12</v>
      </c>
      <c r="H1165" s="18" t="n">
        <f aca="false">N(G1165)-N(F1165)</f>
        <v>-8</v>
      </c>
      <c r="I1165" s="13" t="n">
        <v>20</v>
      </c>
    </row>
    <row r="1166" customFormat="false" ht="15" hidden="false" customHeight="false" outlineLevel="0" collapsed="false">
      <c r="B1166" s="12" t="s">
        <v>47</v>
      </c>
      <c r="C1166" s="12" t="s">
        <v>150</v>
      </c>
      <c r="D1166" s="17" t="s">
        <v>151</v>
      </c>
      <c r="E1166" s="17" t="s">
        <v>68</v>
      </c>
      <c r="F1166" s="13" t="n">
        <v>20</v>
      </c>
      <c r="G1166" s="13" t="n">
        <v>18</v>
      </c>
      <c r="H1166" s="18" t="n">
        <f aca="false">N(G1166)-N(F1166)</f>
        <v>-2</v>
      </c>
      <c r="I1166" s="13" t="n">
        <v>20</v>
      </c>
    </row>
    <row r="1167" customFormat="false" ht="15" hidden="false" customHeight="false" outlineLevel="0" collapsed="false">
      <c r="B1167" s="12" t="s">
        <v>47</v>
      </c>
      <c r="C1167" s="12" t="s">
        <v>184</v>
      </c>
      <c r="D1167" s="17" t="s">
        <v>185</v>
      </c>
      <c r="E1167" s="17" t="s">
        <v>68</v>
      </c>
      <c r="F1167" s="13" t="n">
        <v>6</v>
      </c>
      <c r="G1167" s="13" t="n">
        <v>0</v>
      </c>
      <c r="H1167" s="18" t="n">
        <f aca="false">N(G1167)-N(F1167)</f>
        <v>-6</v>
      </c>
      <c r="I1167" s="13" t="n">
        <v>6</v>
      </c>
    </row>
    <row r="1168" customFormat="false" ht="15" hidden="false" customHeight="false" outlineLevel="0" collapsed="false">
      <c r="B1168" s="12" t="s">
        <v>47</v>
      </c>
      <c r="C1168" s="12" t="s">
        <v>152</v>
      </c>
      <c r="D1168" s="17" t="s">
        <v>153</v>
      </c>
      <c r="E1168" s="17"/>
      <c r="F1168" s="13" t="n">
        <v>0</v>
      </c>
      <c r="G1168" s="13" t="n">
        <v>81</v>
      </c>
      <c r="H1168" s="18" t="n">
        <f aca="false">N(G1168)-N(F1168)</f>
        <v>81</v>
      </c>
      <c r="I1168" s="13"/>
    </row>
    <row r="1169" customFormat="false" ht="15" hidden="false" customHeight="false" outlineLevel="0" collapsed="false">
      <c r="B1169" s="12" t="s">
        <v>47</v>
      </c>
      <c r="C1169" s="12" t="s">
        <v>378</v>
      </c>
      <c r="D1169" s="17" t="s">
        <v>379</v>
      </c>
      <c r="E1169" s="17"/>
      <c r="F1169" s="13" t="n">
        <v>0</v>
      </c>
      <c r="G1169" s="13" t="n">
        <v>1</v>
      </c>
      <c r="H1169" s="18" t="n">
        <f aca="false">N(G1169)-N(F1169)</f>
        <v>1</v>
      </c>
      <c r="I1169" s="13"/>
    </row>
    <row r="1170" customFormat="false" ht="15" hidden="false" customHeight="false" outlineLevel="0" collapsed="false">
      <c r="B1170" s="12" t="s">
        <v>47</v>
      </c>
      <c r="C1170" s="12" t="s">
        <v>155</v>
      </c>
      <c r="D1170" s="17" t="s">
        <v>156</v>
      </c>
      <c r="E1170" s="17"/>
      <c r="F1170" s="13" t="n">
        <v>0</v>
      </c>
      <c r="G1170" s="13" t="n">
        <v>22</v>
      </c>
      <c r="H1170" s="18" t="n">
        <f aca="false">N(G1170)-N(F1170)</f>
        <v>22</v>
      </c>
      <c r="I1170" s="13"/>
    </row>
    <row r="1171" customFormat="false" ht="15" hidden="false" customHeight="false" outlineLevel="0" collapsed="false">
      <c r="B1171" s="12" t="s">
        <v>47</v>
      </c>
      <c r="C1171" s="12" t="s">
        <v>157</v>
      </c>
      <c r="D1171" s="17" t="s">
        <v>158</v>
      </c>
      <c r="E1171" s="17" t="s">
        <v>68</v>
      </c>
      <c r="F1171" s="13" t="n">
        <v>144</v>
      </c>
      <c r="G1171" s="13" t="n">
        <v>81</v>
      </c>
      <c r="H1171" s="18" t="n">
        <f aca="false">N(G1171)-N(F1171)</f>
        <v>-63</v>
      </c>
      <c r="I1171" s="13" t="n">
        <v>144</v>
      </c>
    </row>
    <row r="1172" customFormat="false" ht="15" hidden="false" customHeight="false" outlineLevel="0" collapsed="false">
      <c r="B1172" s="12" t="s">
        <v>47</v>
      </c>
      <c r="C1172" s="12" t="s">
        <v>218</v>
      </c>
      <c r="D1172" s="17" t="s">
        <v>219</v>
      </c>
      <c r="E1172" s="17"/>
      <c r="F1172" s="13" t="n">
        <v>0</v>
      </c>
      <c r="G1172" s="13" t="n">
        <v>1</v>
      </c>
      <c r="H1172" s="18" t="n">
        <f aca="false">N(G1172)-N(F1172)</f>
        <v>1</v>
      </c>
      <c r="I1172" s="13"/>
    </row>
    <row r="1173" customFormat="false" ht="15" hidden="false" customHeight="false" outlineLevel="0" collapsed="false">
      <c r="B1173" s="12" t="s">
        <v>47</v>
      </c>
      <c r="C1173" s="12" t="s">
        <v>221</v>
      </c>
      <c r="D1173" s="17" t="s">
        <v>222</v>
      </c>
      <c r="E1173" s="17"/>
      <c r="F1173" s="13" t="n">
        <v>0</v>
      </c>
      <c r="G1173" s="13" t="n">
        <v>2</v>
      </c>
      <c r="H1173" s="18" t="n">
        <f aca="false">N(G1173)-N(F1173)</f>
        <v>2</v>
      </c>
      <c r="I1173" s="13"/>
    </row>
    <row r="1174" customFormat="false" ht="15" hidden="false" customHeight="false" outlineLevel="0" collapsed="false">
      <c r="B1174" s="12" t="s">
        <v>47</v>
      </c>
      <c r="C1174" s="12" t="s">
        <v>159</v>
      </c>
      <c r="D1174" s="17" t="s">
        <v>160</v>
      </c>
      <c r="E1174" s="17" t="s">
        <v>68</v>
      </c>
      <c r="F1174" s="13" t="n">
        <v>13</v>
      </c>
      <c r="G1174" s="13" t="n">
        <v>1</v>
      </c>
      <c r="H1174" s="18" t="n">
        <f aca="false">N(G1174)-N(F1174)</f>
        <v>-12</v>
      </c>
      <c r="I1174" s="13" t="n">
        <v>13</v>
      </c>
    </row>
    <row r="1175" customFormat="false" ht="15" hidden="false" customHeight="false" outlineLevel="0" collapsed="false">
      <c r="B1175" s="12" t="s">
        <v>47</v>
      </c>
      <c r="C1175" s="12" t="s">
        <v>312</v>
      </c>
      <c r="D1175" s="17" t="s">
        <v>160</v>
      </c>
      <c r="E1175" s="17"/>
      <c r="F1175" s="13" t="n">
        <v>0</v>
      </c>
      <c r="G1175" s="13" t="n">
        <v>6</v>
      </c>
      <c r="H1175" s="18" t="n">
        <f aca="false">N(G1175)-N(F1175)</f>
        <v>6</v>
      </c>
      <c r="I1175" s="13"/>
    </row>
    <row r="1176" customFormat="false" ht="15" hidden="false" customHeight="false" outlineLevel="0" collapsed="false">
      <c r="B1176" s="12" t="s">
        <v>47</v>
      </c>
      <c r="C1176" s="12" t="s">
        <v>314</v>
      </c>
      <c r="D1176" s="17" t="s">
        <v>160</v>
      </c>
      <c r="E1176" s="17" t="s">
        <v>68</v>
      </c>
      <c r="F1176" s="13" t="n">
        <v>13</v>
      </c>
      <c r="G1176" s="13" t="n">
        <v>4</v>
      </c>
      <c r="H1176" s="18" t="n">
        <f aca="false">N(G1176)-N(F1176)</f>
        <v>-9</v>
      </c>
      <c r="I1176" s="13" t="n">
        <v>13</v>
      </c>
    </row>
    <row r="1177" customFormat="false" ht="15" hidden="false" customHeight="false" outlineLevel="0" collapsed="false">
      <c r="B1177" s="12" t="s">
        <v>47</v>
      </c>
      <c r="C1177" s="12" t="s">
        <v>125</v>
      </c>
      <c r="D1177" s="17" t="s">
        <v>126</v>
      </c>
      <c r="E1177" s="17" t="s">
        <v>68</v>
      </c>
      <c r="F1177" s="13" t="n">
        <v>10</v>
      </c>
      <c r="G1177" s="13" t="n">
        <v>6</v>
      </c>
      <c r="H1177" s="18" t="n">
        <f aca="false">N(G1177)-N(F1177)</f>
        <v>-4</v>
      </c>
      <c r="I1177" s="13" t="n">
        <v>10</v>
      </c>
    </row>
    <row r="1178" customFormat="false" ht="15" hidden="false" customHeight="false" outlineLevel="0" collapsed="false">
      <c r="B1178" s="12" t="s">
        <v>47</v>
      </c>
      <c r="C1178" s="12" t="s">
        <v>127</v>
      </c>
      <c r="D1178" s="17" t="s">
        <v>128</v>
      </c>
      <c r="E1178" s="17"/>
      <c r="F1178" s="13" t="n">
        <v>0</v>
      </c>
      <c r="G1178" s="13" t="n">
        <v>4</v>
      </c>
      <c r="H1178" s="18" t="n">
        <f aca="false">N(G1178)-N(F1178)</f>
        <v>4</v>
      </c>
      <c r="I1178" s="13"/>
    </row>
    <row r="1179" customFormat="false" ht="15" hidden="false" customHeight="false" outlineLevel="0" collapsed="false">
      <c r="B1179" s="12" t="s">
        <v>47</v>
      </c>
      <c r="C1179" s="12" t="s">
        <v>364</v>
      </c>
      <c r="D1179" s="17" t="s">
        <v>365</v>
      </c>
      <c r="E1179" s="17" t="s">
        <v>68</v>
      </c>
      <c r="F1179" s="13" t="n">
        <v>21</v>
      </c>
      <c r="G1179" s="13" t="n">
        <v>16</v>
      </c>
      <c r="H1179" s="18" t="n">
        <f aca="false">N(G1179)-N(F1179)</f>
        <v>-5</v>
      </c>
      <c r="I1179" s="13" t="n">
        <v>21</v>
      </c>
    </row>
    <row r="1180" customFormat="false" ht="15" hidden="false" customHeight="false" outlineLevel="0" collapsed="false">
      <c r="B1180" s="12" t="s">
        <v>48</v>
      </c>
      <c r="C1180" s="12" t="s">
        <v>66</v>
      </c>
      <c r="D1180" s="17" t="s">
        <v>67</v>
      </c>
      <c r="E1180" s="17"/>
      <c r="F1180" s="13" t="n">
        <v>0</v>
      </c>
      <c r="G1180" s="13" t="n">
        <v>10</v>
      </c>
      <c r="H1180" s="18" t="n">
        <f aca="false">N(G1180)-N(F1180)</f>
        <v>10</v>
      </c>
      <c r="I1180" s="13"/>
    </row>
    <row r="1181" customFormat="false" ht="15" hidden="false" customHeight="false" outlineLevel="0" collapsed="false">
      <c r="B1181" s="12" t="s">
        <v>48</v>
      </c>
      <c r="C1181" s="12" t="s">
        <v>410</v>
      </c>
      <c r="D1181" s="17" t="s">
        <v>411</v>
      </c>
      <c r="E1181" s="17"/>
      <c r="F1181" s="13" t="n">
        <v>0</v>
      </c>
      <c r="G1181" s="13" t="n">
        <v>8</v>
      </c>
      <c r="H1181" s="18" t="n">
        <f aca="false">N(G1181)-N(F1181)</f>
        <v>8</v>
      </c>
      <c r="I1181" s="13"/>
    </row>
    <row r="1182" customFormat="false" ht="15" hidden="false" customHeight="false" outlineLevel="0" collapsed="false">
      <c r="B1182" s="12" t="s">
        <v>48</v>
      </c>
      <c r="C1182" s="12" t="s">
        <v>228</v>
      </c>
      <c r="D1182" s="17" t="s">
        <v>229</v>
      </c>
      <c r="E1182" s="17"/>
      <c r="F1182" s="13" t="n">
        <v>0</v>
      </c>
      <c r="G1182" s="13" t="n">
        <v>8</v>
      </c>
      <c r="H1182" s="18" t="n">
        <f aca="false">N(G1182)-N(F1182)</f>
        <v>8</v>
      </c>
      <c r="I1182" s="13"/>
    </row>
    <row r="1183" customFormat="false" ht="15" hidden="false" customHeight="false" outlineLevel="0" collapsed="false">
      <c r="B1183" s="12" t="s">
        <v>48</v>
      </c>
      <c r="C1183" s="12" t="s">
        <v>282</v>
      </c>
      <c r="D1183" s="17" t="s">
        <v>283</v>
      </c>
      <c r="E1183" s="17"/>
      <c r="F1183" s="13" t="n">
        <v>0</v>
      </c>
      <c r="G1183" s="13" t="n">
        <v>1</v>
      </c>
      <c r="H1183" s="18" t="n">
        <f aca="false">N(G1183)-N(F1183)</f>
        <v>1</v>
      </c>
      <c r="I1183" s="13"/>
    </row>
    <row r="1184" customFormat="false" ht="15" hidden="false" customHeight="false" outlineLevel="0" collapsed="false">
      <c r="B1184" s="12" t="s">
        <v>48</v>
      </c>
      <c r="C1184" s="12" t="s">
        <v>386</v>
      </c>
      <c r="D1184" s="17" t="s">
        <v>387</v>
      </c>
      <c r="E1184" s="17" t="s">
        <v>68</v>
      </c>
      <c r="F1184" s="13" t="n">
        <v>0</v>
      </c>
      <c r="G1184" s="13" t="n">
        <v>0</v>
      </c>
      <c r="H1184" s="18" t="n">
        <f aca="false">N(G1184)-N(F1184)</f>
        <v>0</v>
      </c>
      <c r="I1184" s="13" t="n">
        <v>1</v>
      </c>
    </row>
    <row r="1185" customFormat="false" ht="15" hidden="false" customHeight="false" outlineLevel="0" collapsed="false">
      <c r="B1185" s="12" t="s">
        <v>48</v>
      </c>
      <c r="C1185" s="12" t="s">
        <v>231</v>
      </c>
      <c r="D1185" s="17" t="s">
        <v>232</v>
      </c>
      <c r="E1185" s="17" t="s">
        <v>68</v>
      </c>
      <c r="F1185" s="13" t="n">
        <v>50</v>
      </c>
      <c r="G1185" s="13" t="n">
        <v>15</v>
      </c>
      <c r="H1185" s="18" t="n">
        <f aca="false">N(G1185)-N(F1185)</f>
        <v>-35</v>
      </c>
      <c r="I1185" s="13" t="n">
        <v>50</v>
      </c>
    </row>
    <row r="1186" customFormat="false" ht="15" hidden="false" customHeight="false" outlineLevel="0" collapsed="false">
      <c r="B1186" s="12" t="s">
        <v>48</v>
      </c>
      <c r="C1186" s="12" t="s">
        <v>285</v>
      </c>
      <c r="D1186" s="17" t="s">
        <v>286</v>
      </c>
      <c r="E1186" s="17"/>
      <c r="F1186" s="13" t="n">
        <v>5</v>
      </c>
      <c r="G1186" s="13" t="n">
        <v>0</v>
      </c>
      <c r="H1186" s="18" t="n">
        <f aca="false">N(G1186)-N(F1186)</f>
        <v>-5</v>
      </c>
      <c r="I1186" s="13"/>
    </row>
    <row r="1187" customFormat="false" ht="15" hidden="false" customHeight="false" outlineLevel="0" collapsed="false">
      <c r="B1187" s="12" t="s">
        <v>48</v>
      </c>
      <c r="C1187" s="12" t="s">
        <v>70</v>
      </c>
      <c r="D1187" s="17" t="s">
        <v>71</v>
      </c>
      <c r="E1187" s="17" t="s">
        <v>68</v>
      </c>
      <c r="F1187" s="13" t="n">
        <v>270</v>
      </c>
      <c r="G1187" s="13" t="n">
        <v>175</v>
      </c>
      <c r="H1187" s="18" t="n">
        <f aca="false">N(G1187)-N(F1187)</f>
        <v>-95</v>
      </c>
      <c r="I1187" s="13" t="n">
        <v>270</v>
      </c>
    </row>
    <row r="1188" customFormat="false" ht="15" hidden="false" customHeight="false" outlineLevel="0" collapsed="false">
      <c r="B1188" s="12" t="s">
        <v>48</v>
      </c>
      <c r="C1188" s="12" t="s">
        <v>72</v>
      </c>
      <c r="D1188" s="17" t="s">
        <v>73</v>
      </c>
      <c r="E1188" s="17"/>
      <c r="F1188" s="13" t="n">
        <v>80</v>
      </c>
      <c r="G1188" s="13" t="n">
        <v>28</v>
      </c>
      <c r="H1188" s="18" t="n">
        <f aca="false">N(G1188)-N(F1188)</f>
        <v>-52</v>
      </c>
      <c r="I1188" s="13"/>
    </row>
    <row r="1189" customFormat="false" ht="15" hidden="false" customHeight="false" outlineLevel="0" collapsed="false">
      <c r="B1189" s="12" t="s">
        <v>48</v>
      </c>
      <c r="C1189" s="12" t="s">
        <v>413</v>
      </c>
      <c r="D1189" s="17" t="s">
        <v>414</v>
      </c>
      <c r="E1189" s="17"/>
      <c r="F1189" s="13" t="n">
        <v>0</v>
      </c>
      <c r="G1189" s="13" t="n">
        <v>6</v>
      </c>
      <c r="H1189" s="18" t="n">
        <f aca="false">N(G1189)-N(F1189)</f>
        <v>6</v>
      </c>
      <c r="I1189" s="13"/>
    </row>
    <row r="1190" customFormat="false" ht="15" hidden="false" customHeight="false" outlineLevel="0" collapsed="false">
      <c r="B1190" s="12" t="s">
        <v>48</v>
      </c>
      <c r="C1190" s="12" t="s">
        <v>74</v>
      </c>
      <c r="D1190" s="17" t="s">
        <v>75</v>
      </c>
      <c r="E1190" s="17" t="s">
        <v>68</v>
      </c>
      <c r="F1190" s="13" t="n">
        <v>44</v>
      </c>
      <c r="G1190" s="13" t="n">
        <v>14</v>
      </c>
      <c r="H1190" s="18" t="n">
        <f aca="false">N(G1190)-N(F1190)</f>
        <v>-30</v>
      </c>
      <c r="I1190" s="13" t="n">
        <v>44</v>
      </c>
    </row>
    <row r="1191" customFormat="false" ht="15" hidden="false" customHeight="false" outlineLevel="0" collapsed="false">
      <c r="B1191" s="12" t="s">
        <v>48</v>
      </c>
      <c r="C1191" s="12" t="s">
        <v>164</v>
      </c>
      <c r="D1191" s="17" t="s">
        <v>165</v>
      </c>
      <c r="E1191" s="17"/>
      <c r="F1191" s="13" t="n">
        <v>0</v>
      </c>
      <c r="G1191" s="13" t="n">
        <v>10</v>
      </c>
      <c r="H1191" s="18" t="n">
        <f aca="false">N(G1191)-N(F1191)</f>
        <v>10</v>
      </c>
      <c r="I1191" s="13"/>
    </row>
    <row r="1192" customFormat="false" ht="15" hidden="false" customHeight="false" outlineLevel="0" collapsed="false">
      <c r="B1192" s="12" t="s">
        <v>48</v>
      </c>
      <c r="C1192" s="12" t="s">
        <v>167</v>
      </c>
      <c r="D1192" s="17" t="s">
        <v>168</v>
      </c>
      <c r="E1192" s="17" t="s">
        <v>68</v>
      </c>
      <c r="F1192" s="13" t="n">
        <v>10</v>
      </c>
      <c r="G1192" s="13" t="n">
        <v>0</v>
      </c>
      <c r="H1192" s="18" t="n">
        <f aca="false">N(G1192)-N(F1192)</f>
        <v>-10</v>
      </c>
      <c r="I1192" s="13" t="n">
        <v>10</v>
      </c>
    </row>
    <row r="1193" customFormat="false" ht="15" hidden="false" customHeight="false" outlineLevel="0" collapsed="false">
      <c r="B1193" s="12" t="s">
        <v>48</v>
      </c>
      <c r="C1193" s="12" t="s">
        <v>76</v>
      </c>
      <c r="D1193" s="17" t="s">
        <v>77</v>
      </c>
      <c r="E1193" s="17" t="s">
        <v>68</v>
      </c>
      <c r="F1193" s="13" t="n">
        <v>68</v>
      </c>
      <c r="G1193" s="13" t="n">
        <v>50</v>
      </c>
      <c r="H1193" s="18" t="n">
        <f aca="false">N(G1193)-N(F1193)</f>
        <v>-18</v>
      </c>
      <c r="I1193" s="13" t="n">
        <v>68</v>
      </c>
    </row>
    <row r="1194" customFormat="false" ht="15" hidden="false" customHeight="false" outlineLevel="0" collapsed="false">
      <c r="B1194" s="12" t="s">
        <v>48</v>
      </c>
      <c r="C1194" s="12" t="s">
        <v>78</v>
      </c>
      <c r="D1194" s="17" t="s">
        <v>79</v>
      </c>
      <c r="E1194" s="17" t="s">
        <v>68</v>
      </c>
      <c r="F1194" s="13" t="n">
        <v>400</v>
      </c>
      <c r="G1194" s="13" t="n">
        <v>166</v>
      </c>
      <c r="H1194" s="18" t="n">
        <f aca="false">N(G1194)-N(F1194)</f>
        <v>-234</v>
      </c>
      <c r="I1194" s="13" t="n">
        <v>400</v>
      </c>
    </row>
    <row r="1195" customFormat="false" ht="15" hidden="false" customHeight="false" outlineLevel="0" collapsed="false">
      <c r="B1195" s="12" t="s">
        <v>48</v>
      </c>
      <c r="C1195" s="12" t="s">
        <v>288</v>
      </c>
      <c r="D1195" s="17" t="s">
        <v>289</v>
      </c>
      <c r="E1195" s="17"/>
      <c r="F1195" s="13" t="n">
        <v>0</v>
      </c>
      <c r="G1195" s="13" t="n">
        <v>2</v>
      </c>
      <c r="H1195" s="18" t="n">
        <f aca="false">N(G1195)-N(F1195)</f>
        <v>2</v>
      </c>
      <c r="I1195" s="13"/>
    </row>
    <row r="1196" customFormat="false" ht="15" hidden="false" customHeight="false" outlineLevel="0" collapsed="false">
      <c r="B1196" s="12" t="s">
        <v>48</v>
      </c>
      <c r="C1196" s="12" t="s">
        <v>389</v>
      </c>
      <c r="D1196" s="17" t="s">
        <v>390</v>
      </c>
      <c r="E1196" s="17"/>
      <c r="F1196" s="13" t="n">
        <v>0</v>
      </c>
      <c r="G1196" s="13" t="n">
        <v>3</v>
      </c>
      <c r="H1196" s="18" t="n">
        <f aca="false">N(G1196)-N(F1196)</f>
        <v>3</v>
      </c>
      <c r="I1196" s="13"/>
    </row>
    <row r="1197" customFormat="false" ht="15" hidden="false" customHeight="false" outlineLevel="0" collapsed="false">
      <c r="B1197" s="12" t="s">
        <v>48</v>
      </c>
      <c r="C1197" s="12" t="s">
        <v>80</v>
      </c>
      <c r="D1197" s="17" t="s">
        <v>81</v>
      </c>
      <c r="E1197" s="17" t="s">
        <v>68</v>
      </c>
      <c r="F1197" s="13" t="n">
        <v>300</v>
      </c>
      <c r="G1197" s="13" t="n">
        <v>223</v>
      </c>
      <c r="H1197" s="18" t="n">
        <f aca="false">N(G1197)-N(F1197)</f>
        <v>-77</v>
      </c>
      <c r="I1197" s="13" t="n">
        <v>300</v>
      </c>
    </row>
    <row r="1198" customFormat="false" ht="15" hidden="false" customHeight="false" outlineLevel="0" collapsed="false">
      <c r="B1198" s="12" t="s">
        <v>48</v>
      </c>
      <c r="C1198" s="12" t="s">
        <v>502</v>
      </c>
      <c r="D1198" s="17" t="s">
        <v>503</v>
      </c>
      <c r="E1198" s="17" t="s">
        <v>68</v>
      </c>
      <c r="F1198" s="13" t="n">
        <v>20</v>
      </c>
      <c r="G1198" s="13" t="n">
        <v>11</v>
      </c>
      <c r="H1198" s="18" t="n">
        <f aca="false">N(G1198)-N(F1198)</f>
        <v>-9</v>
      </c>
      <c r="I1198" s="13" t="n">
        <v>30</v>
      </c>
    </row>
    <row r="1199" customFormat="false" ht="15" hidden="false" customHeight="false" outlineLevel="0" collapsed="false">
      <c r="B1199" s="12" t="s">
        <v>48</v>
      </c>
      <c r="C1199" s="12" t="s">
        <v>82</v>
      </c>
      <c r="D1199" s="17" t="s">
        <v>83</v>
      </c>
      <c r="E1199" s="17"/>
      <c r="F1199" s="13" t="n">
        <v>0</v>
      </c>
      <c r="G1199" s="13" t="n">
        <v>10</v>
      </c>
      <c r="H1199" s="18" t="n">
        <f aca="false">N(G1199)-N(F1199)</f>
        <v>10</v>
      </c>
      <c r="I1199" s="13"/>
    </row>
    <row r="1200" customFormat="false" ht="15" hidden="false" customHeight="false" outlineLevel="0" collapsed="false">
      <c r="B1200" s="12" t="s">
        <v>48</v>
      </c>
      <c r="C1200" s="12" t="s">
        <v>449</v>
      </c>
      <c r="D1200" s="17" t="s">
        <v>450</v>
      </c>
      <c r="E1200" s="17"/>
      <c r="F1200" s="13" t="n">
        <v>0</v>
      </c>
      <c r="G1200" s="13" t="n">
        <v>2</v>
      </c>
      <c r="H1200" s="18" t="n">
        <f aca="false">N(G1200)-N(F1200)</f>
        <v>2</v>
      </c>
      <c r="I1200" s="13"/>
    </row>
    <row r="1201" customFormat="false" ht="15" hidden="false" customHeight="false" outlineLevel="0" collapsed="false">
      <c r="B1201" s="12" t="s">
        <v>48</v>
      </c>
      <c r="C1201" s="12" t="s">
        <v>190</v>
      </c>
      <c r="D1201" s="17" t="s">
        <v>191</v>
      </c>
      <c r="E1201" s="17" t="s">
        <v>68</v>
      </c>
      <c r="F1201" s="13" t="n">
        <v>20</v>
      </c>
      <c r="G1201" s="13" t="n">
        <v>11</v>
      </c>
      <c r="H1201" s="18" t="n">
        <f aca="false">N(G1201)-N(F1201)</f>
        <v>-9</v>
      </c>
      <c r="I1201" s="13" t="n">
        <v>20</v>
      </c>
    </row>
    <row r="1202" customFormat="false" ht="15" hidden="false" customHeight="false" outlineLevel="0" collapsed="false">
      <c r="B1202" s="12" t="s">
        <v>48</v>
      </c>
      <c r="C1202" s="12" t="s">
        <v>237</v>
      </c>
      <c r="D1202" s="17" t="s">
        <v>238</v>
      </c>
      <c r="E1202" s="17"/>
      <c r="F1202" s="13" t="n">
        <v>0</v>
      </c>
      <c r="G1202" s="13" t="n">
        <v>8</v>
      </c>
      <c r="H1202" s="18" t="n">
        <f aca="false">N(G1202)-N(F1202)</f>
        <v>8</v>
      </c>
      <c r="I1202" s="13"/>
    </row>
    <row r="1203" customFormat="false" ht="15" hidden="false" customHeight="false" outlineLevel="0" collapsed="false">
      <c r="B1203" s="12" t="s">
        <v>48</v>
      </c>
      <c r="C1203" s="12" t="s">
        <v>84</v>
      </c>
      <c r="D1203" s="17" t="s">
        <v>85</v>
      </c>
      <c r="E1203" s="17" t="s">
        <v>68</v>
      </c>
      <c r="F1203" s="13" t="n">
        <v>52</v>
      </c>
      <c r="G1203" s="13" t="n">
        <v>33</v>
      </c>
      <c r="H1203" s="18" t="n">
        <f aca="false">N(G1203)-N(F1203)</f>
        <v>-19</v>
      </c>
      <c r="I1203" s="13" t="n">
        <v>52</v>
      </c>
    </row>
    <row r="1204" customFormat="false" ht="15" hidden="false" customHeight="false" outlineLevel="0" collapsed="false">
      <c r="B1204" s="12" t="s">
        <v>48</v>
      </c>
      <c r="C1204" s="12" t="s">
        <v>86</v>
      </c>
      <c r="D1204" s="17" t="s">
        <v>87</v>
      </c>
      <c r="E1204" s="17" t="s">
        <v>68</v>
      </c>
      <c r="F1204" s="13" t="n">
        <v>5</v>
      </c>
      <c r="G1204" s="13" t="n">
        <v>11</v>
      </c>
      <c r="H1204" s="18" t="n">
        <f aca="false">N(G1204)-N(F1204)</f>
        <v>6</v>
      </c>
      <c r="I1204" s="13" t="n">
        <v>5</v>
      </c>
    </row>
    <row r="1205" customFormat="false" ht="15" hidden="false" customHeight="false" outlineLevel="0" collapsed="false">
      <c r="B1205" s="12" t="s">
        <v>48</v>
      </c>
      <c r="C1205" s="12" t="s">
        <v>132</v>
      </c>
      <c r="D1205" s="17" t="s">
        <v>133</v>
      </c>
      <c r="E1205" s="17" t="s">
        <v>68</v>
      </c>
      <c r="F1205" s="13" t="n">
        <v>63</v>
      </c>
      <c r="G1205" s="13" t="n">
        <v>27</v>
      </c>
      <c r="H1205" s="18" t="n">
        <f aca="false">N(G1205)-N(F1205)</f>
        <v>-36</v>
      </c>
      <c r="I1205" s="13" t="n">
        <v>115</v>
      </c>
    </row>
    <row r="1206" customFormat="false" ht="15" hidden="false" customHeight="false" outlineLevel="0" collapsed="false">
      <c r="B1206" s="12" t="s">
        <v>48</v>
      </c>
      <c r="C1206" s="12" t="s">
        <v>419</v>
      </c>
      <c r="D1206" s="17" t="s">
        <v>420</v>
      </c>
      <c r="E1206" s="17"/>
      <c r="F1206" s="13" t="n">
        <v>0</v>
      </c>
      <c r="G1206" s="13" t="n">
        <v>4</v>
      </c>
      <c r="H1206" s="18" t="n">
        <f aca="false">N(G1206)-N(F1206)</f>
        <v>4</v>
      </c>
      <c r="I1206" s="13"/>
    </row>
    <row r="1207" customFormat="false" ht="15" hidden="false" customHeight="false" outlineLevel="0" collapsed="false">
      <c r="B1207" s="12" t="s">
        <v>48</v>
      </c>
      <c r="C1207" s="12" t="s">
        <v>110</v>
      </c>
      <c r="D1207" s="17" t="s">
        <v>111</v>
      </c>
      <c r="E1207" s="17" t="s">
        <v>68</v>
      </c>
      <c r="F1207" s="13" t="n">
        <v>100</v>
      </c>
      <c r="G1207" s="13" t="n">
        <v>33</v>
      </c>
      <c r="H1207" s="18" t="n">
        <f aca="false">N(G1207)-N(F1207)</f>
        <v>-67</v>
      </c>
      <c r="I1207" s="13" t="n">
        <v>100</v>
      </c>
    </row>
    <row r="1208" customFormat="false" ht="15" hidden="false" customHeight="false" outlineLevel="0" collapsed="false">
      <c r="B1208" s="12" t="s">
        <v>48</v>
      </c>
      <c r="C1208" s="12" t="s">
        <v>135</v>
      </c>
      <c r="D1208" s="17" t="s">
        <v>136</v>
      </c>
      <c r="E1208" s="17" t="s">
        <v>94</v>
      </c>
      <c r="F1208" s="13" t="n">
        <v>5800</v>
      </c>
      <c r="G1208" s="13" t="n">
        <v>6599</v>
      </c>
      <c r="H1208" s="18" t="n">
        <f aca="false">N(G1208)-N(F1208)</f>
        <v>799</v>
      </c>
      <c r="I1208" s="13" t="n">
        <v>6056.7796</v>
      </c>
    </row>
    <row r="1209" customFormat="false" ht="15" hidden="false" customHeight="false" outlineLevel="0" collapsed="false">
      <c r="B1209" s="12" t="s">
        <v>48</v>
      </c>
      <c r="C1209" s="12" t="s">
        <v>297</v>
      </c>
      <c r="D1209" s="17" t="s">
        <v>298</v>
      </c>
      <c r="E1209" s="17"/>
      <c r="F1209" s="13" t="n">
        <v>0</v>
      </c>
      <c r="G1209" s="13" t="n">
        <v>2</v>
      </c>
      <c r="H1209" s="18" t="n">
        <f aca="false">N(G1209)-N(F1209)</f>
        <v>2</v>
      </c>
      <c r="I1209" s="13"/>
    </row>
    <row r="1210" customFormat="false" ht="15" hidden="false" customHeight="false" outlineLevel="0" collapsed="false">
      <c r="B1210" s="12" t="s">
        <v>48</v>
      </c>
      <c r="C1210" s="12" t="s">
        <v>170</v>
      </c>
      <c r="D1210" s="17" t="s">
        <v>171</v>
      </c>
      <c r="E1210" s="17"/>
      <c r="F1210" s="13" t="n">
        <v>50</v>
      </c>
      <c r="G1210" s="13" t="n">
        <v>28</v>
      </c>
      <c r="H1210" s="18" t="n">
        <f aca="false">N(G1210)-N(F1210)</f>
        <v>-22</v>
      </c>
      <c r="I1210" s="13"/>
    </row>
    <row r="1211" customFormat="false" ht="15" hidden="false" customHeight="false" outlineLevel="0" collapsed="false">
      <c r="B1211" s="12" t="s">
        <v>48</v>
      </c>
      <c r="C1211" s="12" t="s">
        <v>198</v>
      </c>
      <c r="D1211" s="17" t="s">
        <v>199</v>
      </c>
      <c r="E1211" s="17"/>
      <c r="F1211" s="13" t="n">
        <v>0</v>
      </c>
      <c r="G1211" s="13" t="n">
        <v>2</v>
      </c>
      <c r="H1211" s="18" t="n">
        <f aca="false">N(G1211)-N(F1211)</f>
        <v>2</v>
      </c>
      <c r="I1211" s="13"/>
    </row>
    <row r="1212" customFormat="false" ht="15" hidden="false" customHeight="false" outlineLevel="0" collapsed="false">
      <c r="B1212" s="12" t="s">
        <v>48</v>
      </c>
      <c r="C1212" s="12" t="s">
        <v>88</v>
      </c>
      <c r="D1212" s="17" t="s">
        <v>89</v>
      </c>
      <c r="E1212" s="17" t="s">
        <v>68</v>
      </c>
      <c r="F1212" s="13" t="n">
        <v>120</v>
      </c>
      <c r="G1212" s="13" t="n">
        <v>76</v>
      </c>
      <c r="H1212" s="18" t="n">
        <f aca="false">N(G1212)-N(F1212)</f>
        <v>-44</v>
      </c>
      <c r="I1212" s="13" t="n">
        <v>120</v>
      </c>
    </row>
    <row r="1213" customFormat="false" ht="15" hidden="false" customHeight="false" outlineLevel="0" collapsed="false">
      <c r="B1213" s="12" t="s">
        <v>48</v>
      </c>
      <c r="C1213" s="12" t="s">
        <v>90</v>
      </c>
      <c r="D1213" s="17" t="s">
        <v>91</v>
      </c>
      <c r="E1213" s="17" t="s">
        <v>68</v>
      </c>
      <c r="F1213" s="13" t="n">
        <v>21</v>
      </c>
      <c r="G1213" s="13" t="n">
        <v>22</v>
      </c>
      <c r="H1213" s="18" t="n">
        <f aca="false">N(G1213)-N(F1213)</f>
        <v>1</v>
      </c>
      <c r="I1213" s="13" t="n">
        <v>21</v>
      </c>
    </row>
    <row r="1214" customFormat="false" ht="15" hidden="false" customHeight="false" outlineLevel="0" collapsed="false">
      <c r="B1214" s="12" t="s">
        <v>48</v>
      </c>
      <c r="C1214" s="12" t="s">
        <v>425</v>
      </c>
      <c r="D1214" s="17" t="s">
        <v>426</v>
      </c>
      <c r="E1214" s="17"/>
      <c r="F1214" s="13" t="n">
        <v>0</v>
      </c>
      <c r="G1214" s="13" t="n">
        <v>8</v>
      </c>
      <c r="H1214" s="18" t="n">
        <f aca="false">N(G1214)-N(F1214)</f>
        <v>8</v>
      </c>
      <c r="I1214" s="13"/>
    </row>
    <row r="1215" customFormat="false" ht="15" hidden="false" customHeight="false" outlineLevel="0" collapsed="false">
      <c r="B1215" s="12" t="s">
        <v>48</v>
      </c>
      <c r="C1215" s="12" t="s">
        <v>452</v>
      </c>
      <c r="D1215" s="17" t="s">
        <v>453</v>
      </c>
      <c r="E1215" s="17"/>
      <c r="F1215" s="13" t="n">
        <v>0</v>
      </c>
      <c r="G1215" s="13" t="n">
        <v>6</v>
      </c>
      <c r="H1215" s="18" t="n">
        <f aca="false">N(G1215)-N(F1215)</f>
        <v>6</v>
      </c>
      <c r="I1215" s="13"/>
    </row>
    <row r="1216" customFormat="false" ht="15" hidden="false" customHeight="false" outlineLevel="0" collapsed="false">
      <c r="B1216" s="12" t="s">
        <v>48</v>
      </c>
      <c r="C1216" s="12" t="s">
        <v>322</v>
      </c>
      <c r="D1216" s="17" t="s">
        <v>323</v>
      </c>
      <c r="E1216" s="17"/>
      <c r="F1216" s="13" t="n">
        <v>0</v>
      </c>
      <c r="G1216" s="13" t="n">
        <v>6</v>
      </c>
      <c r="H1216" s="18" t="n">
        <f aca="false">N(G1216)-N(F1216)</f>
        <v>6</v>
      </c>
      <c r="I1216" s="13"/>
    </row>
    <row r="1217" customFormat="false" ht="15" hidden="false" customHeight="false" outlineLevel="0" collapsed="false">
      <c r="B1217" s="12" t="s">
        <v>48</v>
      </c>
      <c r="C1217" s="12" t="s">
        <v>92</v>
      </c>
      <c r="D1217" s="17" t="s">
        <v>93</v>
      </c>
      <c r="E1217" s="17"/>
      <c r="F1217" s="13" t="n">
        <v>0</v>
      </c>
      <c r="G1217" s="13" t="n">
        <v>455</v>
      </c>
      <c r="H1217" s="18" t="n">
        <f aca="false">N(G1217)-N(F1217)</f>
        <v>455</v>
      </c>
      <c r="I1217" s="13"/>
    </row>
    <row r="1218" customFormat="false" ht="15" hidden="false" customHeight="false" outlineLevel="0" collapsed="false">
      <c r="B1218" s="12" t="s">
        <v>48</v>
      </c>
      <c r="C1218" s="12" t="s">
        <v>300</v>
      </c>
      <c r="D1218" s="17" t="s">
        <v>301</v>
      </c>
      <c r="E1218" s="17"/>
      <c r="F1218" s="13" t="n">
        <v>0</v>
      </c>
      <c r="G1218" s="13" t="n">
        <v>2</v>
      </c>
      <c r="H1218" s="18" t="n">
        <f aca="false">N(G1218)-N(F1218)</f>
        <v>2</v>
      </c>
      <c r="I1218" s="13"/>
    </row>
    <row r="1219" customFormat="false" ht="15" hidden="false" customHeight="false" outlineLevel="0" collapsed="false">
      <c r="B1219" s="12" t="s">
        <v>48</v>
      </c>
      <c r="C1219" s="12" t="s">
        <v>240</v>
      </c>
      <c r="D1219" s="17" t="s">
        <v>241</v>
      </c>
      <c r="E1219" s="17" t="s">
        <v>94</v>
      </c>
      <c r="F1219" s="13" t="n">
        <v>975</v>
      </c>
      <c r="G1219" s="13" t="n">
        <v>66</v>
      </c>
      <c r="H1219" s="18" t="n">
        <f aca="false">N(G1219)-N(F1219)</f>
        <v>-909</v>
      </c>
      <c r="I1219" s="13" t="n">
        <v>1369.8165</v>
      </c>
    </row>
    <row r="1220" customFormat="false" ht="15" hidden="false" customHeight="false" outlineLevel="0" collapsed="false">
      <c r="B1220" s="12" t="s">
        <v>48</v>
      </c>
      <c r="C1220" s="12" t="s">
        <v>95</v>
      </c>
      <c r="D1220" s="17" t="s">
        <v>96</v>
      </c>
      <c r="E1220" s="17"/>
      <c r="F1220" s="13" t="n">
        <v>0</v>
      </c>
      <c r="G1220" s="13" t="n">
        <v>1</v>
      </c>
      <c r="H1220" s="18" t="n">
        <f aca="false">N(G1220)-N(F1220)</f>
        <v>1</v>
      </c>
      <c r="I1220" s="13"/>
    </row>
    <row r="1221" customFormat="false" ht="15" hidden="false" customHeight="false" outlineLevel="0" collapsed="false">
      <c r="B1221" s="12" t="s">
        <v>48</v>
      </c>
      <c r="C1221" s="12" t="s">
        <v>97</v>
      </c>
      <c r="D1221" s="17" t="s">
        <v>98</v>
      </c>
      <c r="E1221" s="17" t="s">
        <v>68</v>
      </c>
      <c r="F1221" s="13" t="n">
        <v>68</v>
      </c>
      <c r="G1221" s="13" t="n">
        <v>50</v>
      </c>
      <c r="H1221" s="18" t="n">
        <f aca="false">N(G1221)-N(F1221)</f>
        <v>-18</v>
      </c>
      <c r="I1221" s="13" t="n">
        <v>68</v>
      </c>
    </row>
    <row r="1222" customFormat="false" ht="15" hidden="false" customHeight="false" outlineLevel="0" collapsed="false">
      <c r="B1222" s="12" t="s">
        <v>48</v>
      </c>
      <c r="C1222" s="12" t="s">
        <v>457</v>
      </c>
      <c r="D1222" s="17" t="s">
        <v>458</v>
      </c>
      <c r="E1222" s="17"/>
      <c r="F1222" s="13" t="n">
        <v>0</v>
      </c>
      <c r="G1222" s="13" t="n">
        <v>6</v>
      </c>
      <c r="H1222" s="18" t="n">
        <f aca="false">N(G1222)-N(F1222)</f>
        <v>6</v>
      </c>
      <c r="I1222" s="13"/>
    </row>
    <row r="1223" customFormat="false" ht="15" hidden="false" customHeight="false" outlineLevel="0" collapsed="false">
      <c r="B1223" s="12" t="s">
        <v>48</v>
      </c>
      <c r="C1223" s="12" t="s">
        <v>201</v>
      </c>
      <c r="D1223" s="17" t="s">
        <v>202</v>
      </c>
      <c r="E1223" s="17" t="s">
        <v>68</v>
      </c>
      <c r="F1223" s="13" t="n">
        <v>20</v>
      </c>
      <c r="G1223" s="13" t="n">
        <v>24</v>
      </c>
      <c r="H1223" s="18" t="n">
        <f aca="false">N(G1223)-N(F1223)</f>
        <v>4</v>
      </c>
      <c r="I1223" s="13" t="n">
        <v>20</v>
      </c>
    </row>
    <row r="1224" customFormat="false" ht="15" hidden="false" customHeight="false" outlineLevel="0" collapsed="false">
      <c r="B1224" s="12" t="s">
        <v>48</v>
      </c>
      <c r="C1224" s="12" t="s">
        <v>366</v>
      </c>
      <c r="D1224" s="17" t="s">
        <v>367</v>
      </c>
      <c r="E1224" s="17" t="s">
        <v>68</v>
      </c>
      <c r="F1224" s="13" t="n">
        <v>30</v>
      </c>
      <c r="G1224" s="13" t="n">
        <v>12</v>
      </c>
      <c r="H1224" s="18" t="n">
        <f aca="false">N(G1224)-N(F1224)</f>
        <v>-18</v>
      </c>
      <c r="I1224" s="13" t="n">
        <v>30</v>
      </c>
    </row>
    <row r="1225" customFormat="false" ht="15" hidden="false" customHeight="false" outlineLevel="0" collapsed="false">
      <c r="B1225" s="12" t="s">
        <v>48</v>
      </c>
      <c r="C1225" s="12" t="s">
        <v>427</v>
      </c>
      <c r="D1225" s="17" t="s">
        <v>428</v>
      </c>
      <c r="E1225" s="17"/>
      <c r="F1225" s="13" t="n">
        <v>0</v>
      </c>
      <c r="G1225" s="13" t="n">
        <v>6</v>
      </c>
      <c r="H1225" s="18" t="n">
        <f aca="false">N(G1225)-N(F1225)</f>
        <v>6</v>
      </c>
      <c r="I1225" s="13"/>
    </row>
    <row r="1226" customFormat="false" ht="15" hidden="false" customHeight="false" outlineLevel="0" collapsed="false">
      <c r="B1226" s="12" t="s">
        <v>48</v>
      </c>
      <c r="C1226" s="12" t="s">
        <v>242</v>
      </c>
      <c r="D1226" s="17" t="s">
        <v>243</v>
      </c>
      <c r="E1226" s="17" t="s">
        <v>68</v>
      </c>
      <c r="F1226" s="13" t="n">
        <v>6</v>
      </c>
      <c r="G1226" s="13" t="n">
        <v>2</v>
      </c>
      <c r="H1226" s="18" t="n">
        <f aca="false">N(G1226)-N(F1226)</f>
        <v>-4</v>
      </c>
      <c r="I1226" s="13" t="n">
        <v>6</v>
      </c>
    </row>
    <row r="1227" customFormat="false" ht="15" hidden="false" customHeight="false" outlineLevel="0" collapsed="false">
      <c r="B1227" s="12" t="s">
        <v>48</v>
      </c>
      <c r="C1227" s="12" t="s">
        <v>429</v>
      </c>
      <c r="D1227" s="17" t="s">
        <v>430</v>
      </c>
      <c r="E1227" s="17" t="s">
        <v>68</v>
      </c>
      <c r="F1227" s="13" t="n">
        <v>0</v>
      </c>
      <c r="G1227" s="13" t="n">
        <v>0</v>
      </c>
      <c r="H1227" s="18" t="n">
        <f aca="false">N(G1227)-N(F1227)</f>
        <v>0</v>
      </c>
      <c r="I1227" s="13" t="n">
        <v>60</v>
      </c>
    </row>
    <row r="1228" customFormat="false" ht="15" hidden="false" customHeight="false" outlineLevel="0" collapsed="false">
      <c r="B1228" s="12" t="s">
        <v>48</v>
      </c>
      <c r="C1228" s="12" t="s">
        <v>113</v>
      </c>
      <c r="D1228" s="17" t="s">
        <v>114</v>
      </c>
      <c r="E1228" s="17" t="s">
        <v>68</v>
      </c>
      <c r="F1228" s="13" t="n">
        <v>120</v>
      </c>
      <c r="G1228" s="13" t="n">
        <v>66</v>
      </c>
      <c r="H1228" s="18" t="n">
        <f aca="false">N(G1228)-N(F1228)</f>
        <v>-54</v>
      </c>
      <c r="I1228" s="13" t="n">
        <v>120</v>
      </c>
    </row>
    <row r="1229" customFormat="false" ht="15" hidden="false" customHeight="false" outlineLevel="0" collapsed="false">
      <c r="B1229" s="12" t="s">
        <v>48</v>
      </c>
      <c r="C1229" s="12" t="s">
        <v>329</v>
      </c>
      <c r="D1229" s="17" t="s">
        <v>330</v>
      </c>
      <c r="E1229" s="17"/>
      <c r="F1229" s="13" t="n">
        <v>0</v>
      </c>
      <c r="G1229" s="13" t="n">
        <v>9</v>
      </c>
      <c r="H1229" s="18" t="n">
        <f aca="false">N(G1229)-N(F1229)</f>
        <v>9</v>
      </c>
      <c r="I1229" s="13"/>
    </row>
    <row r="1230" customFormat="false" ht="15" hidden="false" customHeight="false" outlineLevel="0" collapsed="false">
      <c r="B1230" s="12" t="s">
        <v>48</v>
      </c>
      <c r="C1230" s="12" t="s">
        <v>432</v>
      </c>
      <c r="D1230" s="17" t="s">
        <v>433</v>
      </c>
      <c r="E1230" s="17" t="s">
        <v>68</v>
      </c>
      <c r="F1230" s="13" t="n">
        <v>1</v>
      </c>
      <c r="G1230" s="13" t="n">
        <v>2</v>
      </c>
      <c r="H1230" s="18" t="n">
        <f aca="false">N(G1230)-N(F1230)</f>
        <v>1</v>
      </c>
      <c r="I1230" s="13" t="n">
        <v>1</v>
      </c>
    </row>
    <row r="1231" customFormat="false" ht="15" hidden="false" customHeight="false" outlineLevel="0" collapsed="false">
      <c r="B1231" s="12" t="s">
        <v>48</v>
      </c>
      <c r="C1231" s="12" t="s">
        <v>304</v>
      </c>
      <c r="D1231" s="17" t="s">
        <v>305</v>
      </c>
      <c r="E1231" s="17" t="s">
        <v>68</v>
      </c>
      <c r="F1231" s="13" t="n">
        <v>6</v>
      </c>
      <c r="G1231" s="13" t="n">
        <v>9</v>
      </c>
      <c r="H1231" s="18" t="n">
        <f aca="false">N(G1231)-N(F1231)</f>
        <v>3</v>
      </c>
      <c r="I1231" s="13" t="n">
        <v>6</v>
      </c>
    </row>
    <row r="1232" customFormat="false" ht="15" hidden="false" customHeight="false" outlineLevel="0" collapsed="false">
      <c r="B1232" s="12" t="s">
        <v>48</v>
      </c>
      <c r="C1232" s="12" t="s">
        <v>115</v>
      </c>
      <c r="D1232" s="17" t="s">
        <v>116</v>
      </c>
      <c r="E1232" s="17" t="s">
        <v>68</v>
      </c>
      <c r="F1232" s="13" t="n">
        <v>21</v>
      </c>
      <c r="G1232" s="13" t="n">
        <v>0</v>
      </c>
      <c r="H1232" s="18" t="n">
        <f aca="false">N(G1232)-N(F1232)</f>
        <v>-21</v>
      </c>
      <c r="I1232" s="13" t="n">
        <v>21</v>
      </c>
    </row>
    <row r="1233" customFormat="false" ht="15" hidden="false" customHeight="false" outlineLevel="0" collapsed="false">
      <c r="B1233" s="12" t="s">
        <v>48</v>
      </c>
      <c r="C1233" s="12" t="s">
        <v>332</v>
      </c>
      <c r="D1233" s="17" t="s">
        <v>333</v>
      </c>
      <c r="E1233" s="17"/>
      <c r="F1233" s="13" t="n">
        <v>0</v>
      </c>
      <c r="G1233" s="13" t="n">
        <v>9</v>
      </c>
      <c r="H1233" s="18" t="n">
        <f aca="false">N(G1233)-N(F1233)</f>
        <v>9</v>
      </c>
      <c r="I1233" s="13"/>
    </row>
    <row r="1234" customFormat="false" ht="15" hidden="false" customHeight="false" outlineLevel="0" collapsed="false">
      <c r="B1234" s="12" t="s">
        <v>48</v>
      </c>
      <c r="C1234" s="12" t="s">
        <v>369</v>
      </c>
      <c r="D1234" s="17" t="s">
        <v>370</v>
      </c>
      <c r="E1234" s="17"/>
      <c r="F1234" s="13" t="n">
        <v>0</v>
      </c>
      <c r="G1234" s="13" t="n">
        <v>16</v>
      </c>
      <c r="H1234" s="18" t="n">
        <f aca="false">N(G1234)-N(F1234)</f>
        <v>16</v>
      </c>
      <c r="I1234" s="13"/>
    </row>
    <row r="1235" customFormat="false" ht="15" hidden="false" customHeight="false" outlineLevel="0" collapsed="false">
      <c r="B1235" s="12" t="s">
        <v>48</v>
      </c>
      <c r="C1235" s="12" t="s">
        <v>118</v>
      </c>
      <c r="D1235" s="17" t="s">
        <v>119</v>
      </c>
      <c r="E1235" s="17" t="s">
        <v>68</v>
      </c>
      <c r="F1235" s="13" t="n">
        <v>43</v>
      </c>
      <c r="G1235" s="13" t="n">
        <v>33</v>
      </c>
      <c r="H1235" s="18" t="n">
        <f aca="false">N(G1235)-N(F1235)</f>
        <v>-10</v>
      </c>
      <c r="I1235" s="13" t="n">
        <v>43</v>
      </c>
    </row>
    <row r="1236" customFormat="false" ht="15" hidden="false" customHeight="false" outlineLevel="0" collapsed="false">
      <c r="B1236" s="12" t="s">
        <v>48</v>
      </c>
      <c r="C1236" s="12" t="s">
        <v>204</v>
      </c>
      <c r="D1236" s="17" t="s">
        <v>205</v>
      </c>
      <c r="E1236" s="17" t="s">
        <v>68</v>
      </c>
      <c r="F1236" s="13" t="n">
        <v>15</v>
      </c>
      <c r="G1236" s="13" t="n">
        <v>18</v>
      </c>
      <c r="H1236" s="18" t="n">
        <f aca="false">N(G1236)-N(F1236)</f>
        <v>3</v>
      </c>
      <c r="I1236" s="13" t="n">
        <v>15</v>
      </c>
    </row>
    <row r="1237" customFormat="false" ht="15" hidden="false" customHeight="false" outlineLevel="0" collapsed="false">
      <c r="B1237" s="12" t="s">
        <v>48</v>
      </c>
      <c r="C1237" s="12" t="s">
        <v>99</v>
      </c>
      <c r="D1237" s="17" t="s">
        <v>100</v>
      </c>
      <c r="E1237" s="17" t="s">
        <v>68</v>
      </c>
      <c r="F1237" s="13" t="n">
        <v>47</v>
      </c>
      <c r="G1237" s="13" t="n">
        <v>40</v>
      </c>
      <c r="H1237" s="18" t="n">
        <f aca="false">N(G1237)-N(F1237)</f>
        <v>-7</v>
      </c>
      <c r="I1237" s="13" t="n">
        <v>47</v>
      </c>
    </row>
    <row r="1238" customFormat="false" ht="15" hidden="false" customHeight="false" outlineLevel="0" collapsed="false">
      <c r="B1238" s="12" t="s">
        <v>48</v>
      </c>
      <c r="C1238" s="12" t="s">
        <v>101</v>
      </c>
      <c r="D1238" s="17" t="s">
        <v>102</v>
      </c>
      <c r="E1238" s="17" t="s">
        <v>68</v>
      </c>
      <c r="F1238" s="13" t="n">
        <v>30</v>
      </c>
      <c r="G1238" s="13" t="n">
        <v>21</v>
      </c>
      <c r="H1238" s="18" t="n">
        <f aca="false">N(G1238)-N(F1238)</f>
        <v>-9</v>
      </c>
      <c r="I1238" s="13" t="n">
        <v>60</v>
      </c>
    </row>
    <row r="1239" customFormat="false" ht="15" hidden="false" customHeight="false" outlineLevel="0" collapsed="false">
      <c r="B1239" s="12" t="s">
        <v>48</v>
      </c>
      <c r="C1239" s="12" t="s">
        <v>121</v>
      </c>
      <c r="D1239" s="17" t="s">
        <v>122</v>
      </c>
      <c r="E1239" s="17" t="s">
        <v>68</v>
      </c>
      <c r="F1239" s="13" t="n">
        <v>29</v>
      </c>
      <c r="G1239" s="13" t="n">
        <v>22</v>
      </c>
      <c r="H1239" s="18" t="n">
        <f aca="false">N(G1239)-N(F1239)</f>
        <v>-7</v>
      </c>
      <c r="I1239" s="13" t="n">
        <v>29</v>
      </c>
    </row>
    <row r="1240" customFormat="false" ht="15" hidden="false" customHeight="false" outlineLevel="0" collapsed="false">
      <c r="B1240" s="12" t="s">
        <v>48</v>
      </c>
      <c r="C1240" s="12" t="s">
        <v>245</v>
      </c>
      <c r="D1240" s="17" t="s">
        <v>246</v>
      </c>
      <c r="E1240" s="17"/>
      <c r="F1240" s="13" t="n">
        <v>0</v>
      </c>
      <c r="G1240" s="13" t="n">
        <v>2</v>
      </c>
      <c r="H1240" s="18" t="n">
        <f aca="false">N(G1240)-N(F1240)</f>
        <v>2</v>
      </c>
      <c r="I1240" s="13"/>
    </row>
    <row r="1241" customFormat="false" ht="15" hidden="false" customHeight="false" outlineLevel="0" collapsed="false">
      <c r="B1241" s="12" t="s">
        <v>48</v>
      </c>
      <c r="C1241" s="12" t="s">
        <v>141</v>
      </c>
      <c r="D1241" s="17" t="s">
        <v>142</v>
      </c>
      <c r="E1241" s="17"/>
      <c r="F1241" s="13" t="n">
        <v>0</v>
      </c>
      <c r="G1241" s="13" t="n">
        <v>28</v>
      </c>
      <c r="H1241" s="18" t="n">
        <f aca="false">N(G1241)-N(F1241)</f>
        <v>28</v>
      </c>
      <c r="I1241" s="13"/>
    </row>
    <row r="1242" customFormat="false" ht="15" hidden="false" customHeight="false" outlineLevel="0" collapsed="false">
      <c r="B1242" s="12" t="s">
        <v>48</v>
      </c>
      <c r="C1242" s="12" t="s">
        <v>210</v>
      </c>
      <c r="D1242" s="17" t="s">
        <v>211</v>
      </c>
      <c r="E1242" s="17"/>
      <c r="F1242" s="13" t="n">
        <v>0</v>
      </c>
      <c r="G1242" s="13" t="n">
        <v>10</v>
      </c>
      <c r="H1242" s="18" t="n">
        <f aca="false">N(G1242)-N(F1242)</f>
        <v>10</v>
      </c>
      <c r="I1242" s="13"/>
    </row>
    <row r="1243" customFormat="false" ht="15" hidden="false" customHeight="false" outlineLevel="0" collapsed="false">
      <c r="B1243" s="12" t="s">
        <v>48</v>
      </c>
      <c r="C1243" s="12" t="s">
        <v>176</v>
      </c>
      <c r="D1243" s="17" t="s">
        <v>177</v>
      </c>
      <c r="E1243" s="17" t="s">
        <v>68</v>
      </c>
      <c r="F1243" s="13" t="n">
        <v>12</v>
      </c>
      <c r="G1243" s="13" t="n">
        <v>3</v>
      </c>
      <c r="H1243" s="18" t="n">
        <f aca="false">N(G1243)-N(F1243)</f>
        <v>-9</v>
      </c>
      <c r="I1243" s="13" t="n">
        <v>12</v>
      </c>
    </row>
    <row r="1244" customFormat="false" ht="15" hidden="false" customHeight="false" outlineLevel="0" collapsed="false">
      <c r="B1244" s="12" t="s">
        <v>48</v>
      </c>
      <c r="C1244" s="12" t="s">
        <v>212</v>
      </c>
      <c r="D1244" s="17" t="s">
        <v>213</v>
      </c>
      <c r="E1244" s="17"/>
      <c r="F1244" s="13" t="n">
        <v>18</v>
      </c>
      <c r="G1244" s="13" t="n">
        <v>20</v>
      </c>
      <c r="H1244" s="18" t="n">
        <f aca="false">N(G1244)-N(F1244)</f>
        <v>2</v>
      </c>
      <c r="I1244" s="13"/>
    </row>
    <row r="1245" customFormat="false" ht="15" hidden="false" customHeight="false" outlineLevel="0" collapsed="false">
      <c r="B1245" s="12" t="s">
        <v>48</v>
      </c>
      <c r="C1245" s="12" t="s">
        <v>103</v>
      </c>
      <c r="D1245" s="17" t="s">
        <v>104</v>
      </c>
      <c r="E1245" s="17" t="s">
        <v>68</v>
      </c>
      <c r="F1245" s="13" t="n">
        <v>245</v>
      </c>
      <c r="G1245" s="13" t="n">
        <v>192</v>
      </c>
      <c r="H1245" s="18" t="n">
        <f aca="false">N(G1245)-N(F1245)</f>
        <v>-53</v>
      </c>
      <c r="I1245" s="13" t="n">
        <v>245</v>
      </c>
    </row>
    <row r="1246" customFormat="false" ht="15" hidden="false" customHeight="false" outlineLevel="0" collapsed="false">
      <c r="B1246" s="12" t="s">
        <v>48</v>
      </c>
      <c r="C1246" s="12" t="s">
        <v>215</v>
      </c>
      <c r="D1246" s="17" t="s">
        <v>216</v>
      </c>
      <c r="E1246" s="17" t="s">
        <v>68</v>
      </c>
      <c r="F1246" s="13" t="n">
        <v>0</v>
      </c>
      <c r="G1246" s="13" t="n">
        <v>8</v>
      </c>
      <c r="H1246" s="18" t="n">
        <f aca="false">N(G1246)-N(F1246)</f>
        <v>8</v>
      </c>
      <c r="I1246" s="13" t="n">
        <v>26</v>
      </c>
    </row>
    <row r="1247" customFormat="false" ht="15" hidden="false" customHeight="false" outlineLevel="0" collapsed="false">
      <c r="B1247" s="12" t="s">
        <v>48</v>
      </c>
      <c r="C1247" s="12" t="s">
        <v>532</v>
      </c>
      <c r="D1247" s="17" t="s">
        <v>533</v>
      </c>
      <c r="E1247" s="17"/>
      <c r="F1247" s="13" t="n">
        <v>0</v>
      </c>
      <c r="G1247" s="13" t="n">
        <v>2</v>
      </c>
      <c r="H1247" s="18" t="n">
        <f aca="false">N(G1247)-N(F1247)</f>
        <v>2</v>
      </c>
      <c r="I1247" s="13"/>
    </row>
    <row r="1248" customFormat="false" ht="15" hidden="false" customHeight="false" outlineLevel="0" collapsed="false">
      <c r="B1248" s="12" t="s">
        <v>48</v>
      </c>
      <c r="C1248" s="12" t="s">
        <v>179</v>
      </c>
      <c r="D1248" s="17" t="s">
        <v>180</v>
      </c>
      <c r="E1248" s="17" t="s">
        <v>68</v>
      </c>
      <c r="F1248" s="13" t="n">
        <v>13</v>
      </c>
      <c r="G1248" s="13" t="n">
        <v>2</v>
      </c>
      <c r="H1248" s="18" t="n">
        <f aca="false">N(G1248)-N(F1248)</f>
        <v>-11</v>
      </c>
      <c r="I1248" s="13" t="n">
        <v>13</v>
      </c>
    </row>
    <row r="1249" customFormat="false" ht="15" hidden="false" customHeight="false" outlineLevel="0" collapsed="false">
      <c r="B1249" s="12" t="s">
        <v>48</v>
      </c>
      <c r="C1249" s="12" t="s">
        <v>342</v>
      </c>
      <c r="D1249" s="17" t="s">
        <v>343</v>
      </c>
      <c r="E1249" s="17"/>
      <c r="F1249" s="13" t="n">
        <v>0</v>
      </c>
      <c r="G1249" s="13" t="n">
        <v>1</v>
      </c>
      <c r="H1249" s="18" t="n">
        <f aca="false">N(G1249)-N(F1249)</f>
        <v>1</v>
      </c>
      <c r="I1249" s="13"/>
    </row>
    <row r="1250" customFormat="false" ht="15" hidden="false" customHeight="false" outlineLevel="0" collapsed="false">
      <c r="B1250" s="12" t="s">
        <v>48</v>
      </c>
      <c r="C1250" s="12" t="s">
        <v>143</v>
      </c>
      <c r="D1250" s="17" t="s">
        <v>144</v>
      </c>
      <c r="E1250" s="17"/>
      <c r="F1250" s="13" t="n">
        <v>0</v>
      </c>
      <c r="G1250" s="13" t="n">
        <v>1</v>
      </c>
      <c r="H1250" s="18" t="n">
        <f aca="false">N(G1250)-N(F1250)</f>
        <v>1</v>
      </c>
      <c r="I1250" s="13"/>
    </row>
    <row r="1251" customFormat="false" ht="15" hidden="false" customHeight="false" outlineLevel="0" collapsed="false">
      <c r="B1251" s="12" t="s">
        <v>48</v>
      </c>
      <c r="C1251" s="12" t="s">
        <v>146</v>
      </c>
      <c r="D1251" s="17" t="s">
        <v>147</v>
      </c>
      <c r="E1251" s="17"/>
      <c r="F1251" s="13" t="n">
        <v>0</v>
      </c>
      <c r="G1251" s="13" t="n">
        <v>1</v>
      </c>
      <c r="H1251" s="18" t="n">
        <f aca="false">N(G1251)-N(F1251)</f>
        <v>1</v>
      </c>
      <c r="I1251" s="13"/>
    </row>
    <row r="1252" customFormat="false" ht="15" hidden="false" customHeight="false" outlineLevel="0" collapsed="false">
      <c r="B1252" s="12" t="s">
        <v>48</v>
      </c>
      <c r="C1252" s="12" t="s">
        <v>250</v>
      </c>
      <c r="D1252" s="17" t="s">
        <v>251</v>
      </c>
      <c r="E1252" s="17"/>
      <c r="F1252" s="13" t="n">
        <v>12</v>
      </c>
      <c r="G1252" s="13" t="n">
        <v>1</v>
      </c>
      <c r="H1252" s="18" t="n">
        <f aca="false">N(G1252)-N(F1252)</f>
        <v>-11</v>
      </c>
      <c r="I1252" s="13"/>
    </row>
    <row r="1253" customFormat="false" ht="15" hidden="false" customHeight="false" outlineLevel="0" collapsed="false">
      <c r="B1253" s="12" t="s">
        <v>48</v>
      </c>
      <c r="C1253" s="12" t="s">
        <v>148</v>
      </c>
      <c r="D1253" s="17" t="s">
        <v>149</v>
      </c>
      <c r="E1253" s="17" t="s">
        <v>68</v>
      </c>
      <c r="F1253" s="13" t="n">
        <v>50</v>
      </c>
      <c r="G1253" s="13" t="n">
        <v>32</v>
      </c>
      <c r="H1253" s="18" t="n">
        <f aca="false">N(G1253)-N(F1253)</f>
        <v>-18</v>
      </c>
      <c r="I1253" s="13" t="n">
        <v>50</v>
      </c>
    </row>
    <row r="1254" customFormat="false" ht="15" hidden="false" customHeight="false" outlineLevel="0" collapsed="false">
      <c r="B1254" s="12" t="s">
        <v>48</v>
      </c>
      <c r="C1254" s="12" t="s">
        <v>347</v>
      </c>
      <c r="D1254" s="17" t="s">
        <v>348</v>
      </c>
      <c r="E1254" s="17"/>
      <c r="F1254" s="13" t="n">
        <v>0</v>
      </c>
      <c r="G1254" s="13" t="n">
        <v>12</v>
      </c>
      <c r="H1254" s="18" t="n">
        <f aca="false">N(G1254)-N(F1254)</f>
        <v>12</v>
      </c>
      <c r="I1254" s="13"/>
    </row>
    <row r="1255" customFormat="false" ht="15" hidden="false" customHeight="false" outlineLevel="0" collapsed="false">
      <c r="B1255" s="12" t="s">
        <v>48</v>
      </c>
      <c r="C1255" s="12" t="s">
        <v>350</v>
      </c>
      <c r="D1255" s="17" t="s">
        <v>351</v>
      </c>
      <c r="E1255" s="17" t="s">
        <v>68</v>
      </c>
      <c r="F1255" s="13" t="n">
        <v>6</v>
      </c>
      <c r="G1255" s="13" t="n">
        <v>0</v>
      </c>
      <c r="H1255" s="18" t="n">
        <f aca="false">N(G1255)-N(F1255)</f>
        <v>-6</v>
      </c>
      <c r="I1255" s="13" t="n">
        <v>6</v>
      </c>
    </row>
    <row r="1256" customFormat="false" ht="15" hidden="false" customHeight="false" outlineLevel="0" collapsed="false">
      <c r="B1256" s="12" t="s">
        <v>48</v>
      </c>
      <c r="C1256" s="12" t="s">
        <v>123</v>
      </c>
      <c r="D1256" s="17" t="s">
        <v>124</v>
      </c>
      <c r="E1256" s="17"/>
      <c r="F1256" s="13" t="n">
        <v>500</v>
      </c>
      <c r="G1256" s="13" t="n">
        <v>460</v>
      </c>
      <c r="H1256" s="18" t="n">
        <f aca="false">N(G1256)-N(F1256)</f>
        <v>-40</v>
      </c>
      <c r="I1256" s="13"/>
    </row>
    <row r="1257" customFormat="false" ht="15" hidden="false" customHeight="false" outlineLevel="0" collapsed="false">
      <c r="B1257" s="12" t="s">
        <v>48</v>
      </c>
      <c r="C1257" s="12" t="s">
        <v>105</v>
      </c>
      <c r="D1257" s="17" t="s">
        <v>106</v>
      </c>
      <c r="E1257" s="17"/>
      <c r="F1257" s="13" t="n">
        <v>0</v>
      </c>
      <c r="G1257" s="13" t="n">
        <v>10</v>
      </c>
      <c r="H1257" s="18" t="n">
        <f aca="false">N(G1257)-N(F1257)</f>
        <v>10</v>
      </c>
      <c r="I1257" s="13"/>
    </row>
    <row r="1258" customFormat="false" ht="15" hidden="false" customHeight="false" outlineLevel="0" collapsed="false">
      <c r="B1258" s="12" t="s">
        <v>48</v>
      </c>
      <c r="C1258" s="12" t="s">
        <v>107</v>
      </c>
      <c r="D1258" s="17" t="s">
        <v>108</v>
      </c>
      <c r="E1258" s="17"/>
      <c r="F1258" s="13" t="n">
        <v>0</v>
      </c>
      <c r="G1258" s="13" t="n">
        <v>7</v>
      </c>
      <c r="H1258" s="18" t="n">
        <f aca="false">N(G1258)-N(F1258)</f>
        <v>7</v>
      </c>
      <c r="I1258" s="13"/>
    </row>
    <row r="1259" customFormat="false" ht="15" hidden="false" customHeight="false" outlineLevel="0" collapsed="false">
      <c r="B1259" s="12" t="s">
        <v>48</v>
      </c>
      <c r="C1259" s="12" t="s">
        <v>310</v>
      </c>
      <c r="D1259" s="17" t="s">
        <v>311</v>
      </c>
      <c r="E1259" s="17"/>
      <c r="F1259" s="13" t="n">
        <v>0</v>
      </c>
      <c r="G1259" s="13" t="n">
        <v>1</v>
      </c>
      <c r="H1259" s="18" t="n">
        <f aca="false">N(G1259)-N(F1259)</f>
        <v>1</v>
      </c>
      <c r="I1259" s="13"/>
    </row>
    <row r="1260" customFormat="false" ht="15" hidden="false" customHeight="false" outlineLevel="0" collapsed="false">
      <c r="B1260" s="12" t="s">
        <v>48</v>
      </c>
      <c r="C1260" s="12" t="s">
        <v>356</v>
      </c>
      <c r="D1260" s="17" t="s">
        <v>357</v>
      </c>
      <c r="E1260" s="17"/>
      <c r="F1260" s="13" t="n">
        <v>0</v>
      </c>
      <c r="G1260" s="13" t="n">
        <v>2</v>
      </c>
      <c r="H1260" s="18" t="n">
        <f aca="false">N(G1260)-N(F1260)</f>
        <v>2</v>
      </c>
      <c r="I1260" s="13"/>
    </row>
    <row r="1261" customFormat="false" ht="15" hidden="false" customHeight="false" outlineLevel="0" collapsed="false">
      <c r="B1261" s="12" t="s">
        <v>48</v>
      </c>
      <c r="C1261" s="12" t="s">
        <v>150</v>
      </c>
      <c r="D1261" s="17" t="s">
        <v>151</v>
      </c>
      <c r="E1261" s="17" t="s">
        <v>68</v>
      </c>
      <c r="F1261" s="13" t="n">
        <v>50</v>
      </c>
      <c r="G1261" s="13" t="n">
        <v>15</v>
      </c>
      <c r="H1261" s="18" t="n">
        <f aca="false">N(G1261)-N(F1261)</f>
        <v>-35</v>
      </c>
      <c r="I1261" s="13" t="n">
        <v>50</v>
      </c>
    </row>
    <row r="1262" customFormat="false" ht="15" hidden="false" customHeight="false" outlineLevel="0" collapsed="false">
      <c r="B1262" s="12" t="s">
        <v>48</v>
      </c>
      <c r="C1262" s="12" t="s">
        <v>184</v>
      </c>
      <c r="D1262" s="17" t="s">
        <v>185</v>
      </c>
      <c r="E1262" s="17" t="s">
        <v>68</v>
      </c>
      <c r="F1262" s="13" t="n">
        <v>13</v>
      </c>
      <c r="G1262" s="13" t="n">
        <v>2</v>
      </c>
      <c r="H1262" s="18" t="n">
        <f aca="false">N(G1262)-N(F1262)</f>
        <v>-11</v>
      </c>
      <c r="I1262" s="13" t="n">
        <v>13</v>
      </c>
    </row>
    <row r="1263" customFormat="false" ht="15" hidden="false" customHeight="false" outlineLevel="0" collapsed="false">
      <c r="B1263" s="12" t="s">
        <v>48</v>
      </c>
      <c r="C1263" s="12" t="s">
        <v>252</v>
      </c>
      <c r="D1263" s="17" t="s">
        <v>253</v>
      </c>
      <c r="E1263" s="17"/>
      <c r="F1263" s="13" t="n">
        <v>0</v>
      </c>
      <c r="G1263" s="13" t="n">
        <v>6</v>
      </c>
      <c r="H1263" s="18" t="n">
        <f aca="false">N(G1263)-N(F1263)</f>
        <v>6</v>
      </c>
      <c r="I1263" s="13"/>
    </row>
    <row r="1264" customFormat="false" ht="15" hidden="false" customHeight="false" outlineLevel="0" collapsed="false">
      <c r="B1264" s="12" t="s">
        <v>48</v>
      </c>
      <c r="C1264" s="12" t="s">
        <v>152</v>
      </c>
      <c r="D1264" s="17" t="s">
        <v>153</v>
      </c>
      <c r="E1264" s="17"/>
      <c r="F1264" s="13" t="n">
        <v>50</v>
      </c>
      <c r="G1264" s="13" t="n">
        <v>52</v>
      </c>
      <c r="H1264" s="18" t="n">
        <f aca="false">N(G1264)-N(F1264)</f>
        <v>2</v>
      </c>
      <c r="I1264" s="13"/>
    </row>
    <row r="1265" customFormat="false" ht="15" hidden="false" customHeight="false" outlineLevel="0" collapsed="false">
      <c r="B1265" s="12" t="s">
        <v>48</v>
      </c>
      <c r="C1265" s="12" t="s">
        <v>378</v>
      </c>
      <c r="D1265" s="17" t="s">
        <v>379</v>
      </c>
      <c r="E1265" s="17"/>
      <c r="F1265" s="13" t="n">
        <v>0</v>
      </c>
      <c r="G1265" s="13" t="n">
        <v>2</v>
      </c>
      <c r="H1265" s="18" t="n">
        <f aca="false">N(G1265)-N(F1265)</f>
        <v>2</v>
      </c>
      <c r="I1265" s="13"/>
    </row>
    <row r="1266" customFormat="false" ht="15" hidden="false" customHeight="false" outlineLevel="0" collapsed="false">
      <c r="B1266" s="12" t="s">
        <v>48</v>
      </c>
      <c r="C1266" s="12" t="s">
        <v>629</v>
      </c>
      <c r="D1266" s="17" t="s">
        <v>630</v>
      </c>
      <c r="E1266" s="17"/>
      <c r="F1266" s="13" t="n">
        <v>0</v>
      </c>
      <c r="G1266" s="13" t="n">
        <v>896</v>
      </c>
      <c r="H1266" s="18" t="n">
        <f aca="false">N(G1266)-N(F1266)</f>
        <v>896</v>
      </c>
      <c r="I1266" s="13"/>
    </row>
    <row r="1267" customFormat="false" ht="15" hidden="false" customHeight="false" outlineLevel="0" collapsed="false">
      <c r="B1267" s="12" t="s">
        <v>48</v>
      </c>
      <c r="C1267" s="12" t="s">
        <v>155</v>
      </c>
      <c r="D1267" s="17" t="s">
        <v>156</v>
      </c>
      <c r="E1267" s="17"/>
      <c r="F1267" s="13" t="n">
        <v>0</v>
      </c>
      <c r="G1267" s="13" t="n">
        <v>23</v>
      </c>
      <c r="H1267" s="18" t="n">
        <f aca="false">N(G1267)-N(F1267)</f>
        <v>23</v>
      </c>
      <c r="I1267" s="13"/>
    </row>
    <row r="1268" customFormat="false" ht="15" hidden="false" customHeight="false" outlineLevel="0" collapsed="false">
      <c r="B1268" s="12" t="s">
        <v>48</v>
      </c>
      <c r="C1268" s="12" t="s">
        <v>255</v>
      </c>
      <c r="D1268" s="17" t="s">
        <v>256</v>
      </c>
      <c r="E1268" s="17" t="s">
        <v>94</v>
      </c>
      <c r="F1268" s="13" t="n">
        <v>17310</v>
      </c>
      <c r="G1268" s="13" t="n">
        <v>6390</v>
      </c>
      <c r="H1268" s="18" t="n">
        <f aca="false">N(G1268)-N(F1268)</f>
        <v>-10920</v>
      </c>
      <c r="I1268" s="13" t="n">
        <v>17377.6688</v>
      </c>
    </row>
    <row r="1269" customFormat="false" ht="15" hidden="false" customHeight="false" outlineLevel="0" collapsed="false">
      <c r="B1269" s="12" t="s">
        <v>48</v>
      </c>
      <c r="C1269" s="12" t="s">
        <v>157</v>
      </c>
      <c r="D1269" s="17" t="s">
        <v>158</v>
      </c>
      <c r="E1269" s="17" t="s">
        <v>68</v>
      </c>
      <c r="F1269" s="13" t="n">
        <v>90</v>
      </c>
      <c r="G1269" s="13" t="n">
        <v>44</v>
      </c>
      <c r="H1269" s="18" t="n">
        <f aca="false">N(G1269)-N(F1269)</f>
        <v>-46</v>
      </c>
      <c r="I1269" s="13" t="n">
        <v>90</v>
      </c>
    </row>
    <row r="1270" customFormat="false" ht="15" hidden="false" customHeight="false" outlineLevel="0" collapsed="false">
      <c r="B1270" s="12" t="s">
        <v>48</v>
      </c>
      <c r="C1270" s="12" t="s">
        <v>478</v>
      </c>
      <c r="D1270" s="17" t="s">
        <v>479</v>
      </c>
      <c r="E1270" s="17" t="s">
        <v>68</v>
      </c>
      <c r="F1270" s="13" t="n">
        <v>6</v>
      </c>
      <c r="G1270" s="13" t="n">
        <v>2</v>
      </c>
      <c r="H1270" s="18" t="n">
        <f aca="false">N(G1270)-N(F1270)</f>
        <v>-4</v>
      </c>
      <c r="I1270" s="13" t="n">
        <v>6</v>
      </c>
    </row>
    <row r="1271" customFormat="false" ht="15" hidden="false" customHeight="false" outlineLevel="0" collapsed="false">
      <c r="B1271" s="12" t="s">
        <v>48</v>
      </c>
      <c r="C1271" s="12" t="s">
        <v>221</v>
      </c>
      <c r="D1271" s="17" t="s">
        <v>222</v>
      </c>
      <c r="E1271" s="17"/>
      <c r="F1271" s="13" t="n">
        <v>0</v>
      </c>
      <c r="G1271" s="13" t="n">
        <v>2</v>
      </c>
      <c r="H1271" s="18" t="n">
        <f aca="false">N(G1271)-N(F1271)</f>
        <v>2</v>
      </c>
      <c r="I1271" s="13"/>
    </row>
    <row r="1272" customFormat="false" ht="15" hidden="false" customHeight="false" outlineLevel="0" collapsed="false">
      <c r="B1272" s="12" t="s">
        <v>48</v>
      </c>
      <c r="C1272" s="12" t="s">
        <v>159</v>
      </c>
      <c r="D1272" s="17" t="s">
        <v>160</v>
      </c>
      <c r="E1272" s="17" t="s">
        <v>68</v>
      </c>
      <c r="F1272" s="13" t="n">
        <v>4</v>
      </c>
      <c r="G1272" s="13" t="n">
        <v>1</v>
      </c>
      <c r="H1272" s="18" t="n">
        <f aca="false">N(G1272)-N(F1272)</f>
        <v>-3</v>
      </c>
      <c r="I1272" s="13" t="n">
        <v>5</v>
      </c>
    </row>
    <row r="1273" customFormat="false" ht="15" hidden="false" customHeight="false" outlineLevel="0" collapsed="false">
      <c r="B1273" s="12" t="s">
        <v>48</v>
      </c>
      <c r="C1273" s="12" t="s">
        <v>312</v>
      </c>
      <c r="D1273" s="17" t="s">
        <v>160</v>
      </c>
      <c r="E1273" s="17" t="s">
        <v>68</v>
      </c>
      <c r="F1273" s="13" t="n">
        <v>4</v>
      </c>
      <c r="G1273" s="13" t="n">
        <v>11</v>
      </c>
      <c r="H1273" s="18" t="n">
        <f aca="false">N(G1273)-N(F1273)</f>
        <v>7</v>
      </c>
      <c r="I1273" s="13" t="n">
        <v>5</v>
      </c>
    </row>
    <row r="1274" customFormat="false" ht="15" hidden="false" customHeight="false" outlineLevel="0" collapsed="false">
      <c r="B1274" s="12" t="s">
        <v>48</v>
      </c>
      <c r="C1274" s="12" t="s">
        <v>314</v>
      </c>
      <c r="D1274" s="17" t="s">
        <v>160</v>
      </c>
      <c r="E1274" s="17" t="s">
        <v>68</v>
      </c>
      <c r="F1274" s="13" t="n">
        <v>5</v>
      </c>
      <c r="G1274" s="13" t="n">
        <v>3</v>
      </c>
      <c r="H1274" s="18" t="n">
        <f aca="false">N(G1274)-N(F1274)</f>
        <v>-2</v>
      </c>
      <c r="I1274" s="13" t="n">
        <v>4</v>
      </c>
    </row>
    <row r="1275" customFormat="false" ht="15" hidden="false" customHeight="false" outlineLevel="0" collapsed="false">
      <c r="B1275" s="12" t="s">
        <v>48</v>
      </c>
      <c r="C1275" s="12" t="s">
        <v>437</v>
      </c>
      <c r="D1275" s="17" t="s">
        <v>438</v>
      </c>
      <c r="E1275" s="17"/>
      <c r="F1275" s="13" t="n">
        <v>0</v>
      </c>
      <c r="G1275" s="13" t="n">
        <v>16</v>
      </c>
      <c r="H1275" s="18" t="n">
        <f aca="false">N(G1275)-N(F1275)</f>
        <v>16</v>
      </c>
      <c r="I1275" s="13"/>
    </row>
    <row r="1276" customFormat="false" ht="15" hidden="false" customHeight="false" outlineLevel="0" collapsed="false">
      <c r="B1276" s="12" t="s">
        <v>48</v>
      </c>
      <c r="C1276" s="12" t="s">
        <v>125</v>
      </c>
      <c r="D1276" s="17" t="s">
        <v>126</v>
      </c>
      <c r="E1276" s="17" t="s">
        <v>68</v>
      </c>
      <c r="F1276" s="13" t="n">
        <v>28</v>
      </c>
      <c r="G1276" s="13" t="n">
        <v>24</v>
      </c>
      <c r="H1276" s="18" t="n">
        <f aca="false">N(G1276)-N(F1276)</f>
        <v>-4</v>
      </c>
      <c r="I1276" s="13" t="n">
        <v>28</v>
      </c>
    </row>
    <row r="1277" customFormat="false" ht="15" hidden="false" customHeight="false" outlineLevel="0" collapsed="false">
      <c r="B1277" s="12" t="s">
        <v>48</v>
      </c>
      <c r="C1277" s="12" t="s">
        <v>127</v>
      </c>
      <c r="D1277" s="17" t="s">
        <v>128</v>
      </c>
      <c r="E1277" s="17"/>
      <c r="F1277" s="13" t="n">
        <v>0</v>
      </c>
      <c r="G1277" s="13" t="n">
        <v>14</v>
      </c>
      <c r="H1277" s="18" t="n">
        <f aca="false">N(G1277)-N(F1277)</f>
        <v>14</v>
      </c>
      <c r="I1277" s="13"/>
    </row>
    <row r="1278" customFormat="false" ht="15" hidden="false" customHeight="false" outlineLevel="0" collapsed="false">
      <c r="B1278" s="12" t="s">
        <v>48</v>
      </c>
      <c r="C1278" s="12" t="s">
        <v>258</v>
      </c>
      <c r="D1278" s="17" t="s">
        <v>259</v>
      </c>
      <c r="E1278" s="17" t="s">
        <v>68</v>
      </c>
      <c r="F1278" s="13" t="n">
        <v>34</v>
      </c>
      <c r="G1278" s="13" t="n">
        <v>19</v>
      </c>
      <c r="H1278" s="18" t="n">
        <f aca="false">N(G1278)-N(F1278)</f>
        <v>-15</v>
      </c>
      <c r="I1278" s="13" t="n">
        <v>34</v>
      </c>
    </row>
    <row r="1279" customFormat="false" ht="15" hidden="false" customHeight="false" outlineLevel="0" collapsed="false">
      <c r="B1279" s="12" t="s">
        <v>48</v>
      </c>
      <c r="C1279" s="12" t="s">
        <v>364</v>
      </c>
      <c r="D1279" s="17" t="s">
        <v>365</v>
      </c>
      <c r="E1279" s="17" t="s">
        <v>68</v>
      </c>
      <c r="F1279" s="13" t="n">
        <v>6</v>
      </c>
      <c r="G1279" s="13" t="n">
        <v>9</v>
      </c>
      <c r="H1279" s="18" t="n">
        <f aca="false">N(G1279)-N(F1279)</f>
        <v>3</v>
      </c>
      <c r="I1279" s="13" t="n">
        <v>6</v>
      </c>
    </row>
    <row r="1280" customFormat="false" ht="15" hidden="false" customHeight="false" outlineLevel="0" collapsed="false">
      <c r="B1280" s="12" t="s">
        <v>48</v>
      </c>
      <c r="C1280" s="12" t="s">
        <v>161</v>
      </c>
      <c r="D1280" s="17" t="s">
        <v>162</v>
      </c>
      <c r="E1280" s="17" t="s">
        <v>94</v>
      </c>
      <c r="F1280" s="13" t="n">
        <v>0</v>
      </c>
      <c r="G1280" s="13" t="n">
        <v>2</v>
      </c>
      <c r="H1280" s="18" t="n">
        <f aca="false">N(G1280)-N(F1280)</f>
        <v>2</v>
      </c>
      <c r="I1280" s="13" t="n">
        <v>1063.8298</v>
      </c>
    </row>
    <row r="1281" customFormat="false" ht="15" hidden="false" customHeight="false" outlineLevel="0" collapsed="false">
      <c r="B1281" s="12" t="s">
        <v>48</v>
      </c>
      <c r="C1281" s="12" t="s">
        <v>263</v>
      </c>
      <c r="D1281" s="17" t="s">
        <v>264</v>
      </c>
      <c r="E1281" s="17"/>
      <c r="F1281" s="13" t="n">
        <v>0</v>
      </c>
      <c r="G1281" s="13" t="n">
        <v>6</v>
      </c>
      <c r="H1281" s="18" t="n">
        <f aca="false">N(G1281)-N(F1281)</f>
        <v>6</v>
      </c>
      <c r="I1281" s="13"/>
    </row>
    <row r="1282" customFormat="false" ht="15" hidden="false" customHeight="false" outlineLevel="0" collapsed="false">
      <c r="B1282" s="12" t="s">
        <v>48</v>
      </c>
      <c r="C1282" s="12" t="s">
        <v>265</v>
      </c>
      <c r="D1282" s="17" t="s">
        <v>266</v>
      </c>
      <c r="E1282" s="17" t="s">
        <v>68</v>
      </c>
      <c r="F1282" s="13" t="n">
        <v>15</v>
      </c>
      <c r="G1282" s="13" t="n">
        <v>8</v>
      </c>
      <c r="H1282" s="18" t="n">
        <f aca="false">N(G1282)-N(F1282)</f>
        <v>-7</v>
      </c>
      <c r="I1282" s="13" t="n">
        <v>15</v>
      </c>
    </row>
    <row r="1283" customFormat="false" ht="15" hidden="false" customHeight="false" outlineLevel="0" collapsed="false">
      <c r="B1283" s="12" t="s">
        <v>48</v>
      </c>
      <c r="C1283" s="12" t="s">
        <v>226</v>
      </c>
      <c r="D1283" s="17" t="s">
        <v>227</v>
      </c>
      <c r="E1283" s="17" t="s">
        <v>68</v>
      </c>
      <c r="F1283" s="13" t="n">
        <v>5</v>
      </c>
      <c r="G1283" s="13" t="n">
        <v>2</v>
      </c>
      <c r="H1283" s="18" t="n">
        <f aca="false">N(G1283)-N(F1283)</f>
        <v>-3</v>
      </c>
      <c r="I1283" s="13" t="n">
        <v>5</v>
      </c>
    </row>
    <row r="1284" customFormat="false" ht="15" hidden="false" customHeight="false" outlineLevel="0" collapsed="false">
      <c r="B1284" s="12" t="s">
        <v>48</v>
      </c>
      <c r="C1284" s="12" t="s">
        <v>280</v>
      </c>
      <c r="D1284" s="17" t="s">
        <v>227</v>
      </c>
      <c r="E1284" s="17" t="s">
        <v>68</v>
      </c>
      <c r="F1284" s="13" t="n">
        <v>2</v>
      </c>
      <c r="G1284" s="13" t="n">
        <v>1</v>
      </c>
      <c r="H1284" s="18" t="n">
        <f aca="false">N(G1284)-N(F1284)</f>
        <v>-1</v>
      </c>
      <c r="I1284" s="13" t="n">
        <v>2</v>
      </c>
    </row>
    <row r="1285" customFormat="false" ht="15" hidden="false" customHeight="false" outlineLevel="0" collapsed="false">
      <c r="B1285" s="12" t="s">
        <v>48</v>
      </c>
      <c r="C1285" s="12" t="s">
        <v>672</v>
      </c>
      <c r="D1285" s="17" t="s">
        <v>673</v>
      </c>
      <c r="E1285" s="17"/>
      <c r="F1285" s="13" t="n">
        <v>0</v>
      </c>
      <c r="G1285" s="13" t="n">
        <v>3</v>
      </c>
      <c r="H1285" s="18" t="n">
        <f aca="false">N(G1285)-N(F1285)</f>
        <v>3</v>
      </c>
      <c r="I1285" s="13"/>
    </row>
    <row r="1286" customFormat="false" ht="15" hidden="false" customHeight="false" outlineLevel="0" collapsed="false">
      <c r="B1286" s="12" t="s">
        <v>49</v>
      </c>
      <c r="C1286" s="12" t="s">
        <v>481</v>
      </c>
      <c r="D1286" s="17" t="s">
        <v>482</v>
      </c>
      <c r="E1286" s="17"/>
      <c r="F1286" s="13" t="n">
        <v>0</v>
      </c>
      <c r="G1286" s="13" t="n">
        <v>9</v>
      </c>
      <c r="H1286" s="18" t="n">
        <f aca="false">N(G1286)-N(F1286)</f>
        <v>9</v>
      </c>
      <c r="I1286" s="13"/>
    </row>
    <row r="1287" customFormat="false" ht="15" hidden="false" customHeight="false" outlineLevel="0" collapsed="false">
      <c r="B1287" s="12" t="s">
        <v>49</v>
      </c>
      <c r="C1287" s="12" t="s">
        <v>66</v>
      </c>
      <c r="D1287" s="17" t="s">
        <v>67</v>
      </c>
      <c r="E1287" s="17"/>
      <c r="F1287" s="13" t="n">
        <v>0</v>
      </c>
      <c r="G1287" s="13" t="n">
        <v>2</v>
      </c>
      <c r="H1287" s="18" t="n">
        <f aca="false">N(G1287)-N(F1287)</f>
        <v>2</v>
      </c>
      <c r="I1287" s="13"/>
    </row>
    <row r="1288" customFormat="false" ht="15" hidden="false" customHeight="false" outlineLevel="0" collapsed="false">
      <c r="B1288" s="12" t="s">
        <v>49</v>
      </c>
      <c r="C1288" s="12" t="s">
        <v>383</v>
      </c>
      <c r="D1288" s="17" t="s">
        <v>384</v>
      </c>
      <c r="E1288" s="17"/>
      <c r="F1288" s="13" t="n">
        <v>0</v>
      </c>
      <c r="G1288" s="13" t="n">
        <v>1</v>
      </c>
      <c r="H1288" s="18" t="n">
        <f aca="false">N(G1288)-N(F1288)</f>
        <v>1</v>
      </c>
      <c r="I1288" s="13"/>
    </row>
    <row r="1289" customFormat="false" ht="15" hidden="false" customHeight="false" outlineLevel="0" collapsed="false">
      <c r="B1289" s="12" t="s">
        <v>49</v>
      </c>
      <c r="C1289" s="12" t="s">
        <v>271</v>
      </c>
      <c r="D1289" s="17" t="s">
        <v>272</v>
      </c>
      <c r="E1289" s="17"/>
      <c r="F1289" s="13" t="n">
        <v>0</v>
      </c>
      <c r="G1289" s="13" t="n">
        <v>4</v>
      </c>
      <c r="H1289" s="18" t="n">
        <f aca="false">N(G1289)-N(F1289)</f>
        <v>4</v>
      </c>
      <c r="I1289" s="13"/>
    </row>
    <row r="1290" customFormat="false" ht="15" hidden="false" customHeight="false" outlineLevel="0" collapsed="false">
      <c r="B1290" s="12" t="s">
        <v>49</v>
      </c>
      <c r="C1290" s="12" t="s">
        <v>282</v>
      </c>
      <c r="D1290" s="17" t="s">
        <v>283</v>
      </c>
      <c r="E1290" s="17"/>
      <c r="F1290" s="13" t="n">
        <v>0</v>
      </c>
      <c r="G1290" s="13" t="n">
        <v>3</v>
      </c>
      <c r="H1290" s="18" t="n">
        <f aca="false">N(G1290)-N(F1290)</f>
        <v>3</v>
      </c>
      <c r="I1290" s="13"/>
    </row>
    <row r="1291" customFormat="false" ht="15" hidden="false" customHeight="false" outlineLevel="0" collapsed="false">
      <c r="B1291" s="12" t="s">
        <v>49</v>
      </c>
      <c r="C1291" s="12" t="s">
        <v>386</v>
      </c>
      <c r="D1291" s="17" t="s">
        <v>387</v>
      </c>
      <c r="E1291" s="17" t="s">
        <v>68</v>
      </c>
      <c r="F1291" s="13" t="n">
        <v>1</v>
      </c>
      <c r="G1291" s="13" t="n">
        <v>1</v>
      </c>
      <c r="H1291" s="18" t="n">
        <f aca="false">N(G1291)-N(F1291)</f>
        <v>0</v>
      </c>
      <c r="I1291" s="13" t="n">
        <v>2</v>
      </c>
    </row>
    <row r="1292" customFormat="false" ht="15" hidden="false" customHeight="false" outlineLevel="0" collapsed="false">
      <c r="B1292" s="12" t="s">
        <v>49</v>
      </c>
      <c r="C1292" s="12" t="s">
        <v>129</v>
      </c>
      <c r="D1292" s="17" t="s">
        <v>130</v>
      </c>
      <c r="E1292" s="17"/>
      <c r="F1292" s="13" t="n">
        <v>0</v>
      </c>
      <c r="G1292" s="13" t="n">
        <v>1</v>
      </c>
      <c r="H1292" s="18" t="n">
        <f aca="false">N(G1292)-N(F1292)</f>
        <v>1</v>
      </c>
      <c r="I1292" s="13"/>
    </row>
    <row r="1293" customFormat="false" ht="15" hidden="false" customHeight="false" outlineLevel="0" collapsed="false">
      <c r="B1293" s="12" t="s">
        <v>49</v>
      </c>
      <c r="C1293" s="12" t="s">
        <v>234</v>
      </c>
      <c r="D1293" s="17" t="s">
        <v>235</v>
      </c>
      <c r="E1293" s="17"/>
      <c r="F1293" s="13" t="n">
        <v>0</v>
      </c>
      <c r="G1293" s="13" t="n">
        <v>19</v>
      </c>
      <c r="H1293" s="18" t="n">
        <f aca="false">N(G1293)-N(F1293)</f>
        <v>19</v>
      </c>
      <c r="I1293" s="13"/>
    </row>
    <row r="1294" customFormat="false" ht="15" hidden="false" customHeight="false" outlineLevel="0" collapsed="false">
      <c r="B1294" s="12" t="s">
        <v>49</v>
      </c>
      <c r="C1294" s="12" t="s">
        <v>70</v>
      </c>
      <c r="D1294" s="17" t="s">
        <v>71</v>
      </c>
      <c r="E1294" s="17" t="s">
        <v>68</v>
      </c>
      <c r="F1294" s="13" t="n">
        <v>475</v>
      </c>
      <c r="G1294" s="13" t="n">
        <v>256</v>
      </c>
      <c r="H1294" s="18" t="n">
        <f aca="false">N(G1294)-N(F1294)</f>
        <v>-219</v>
      </c>
      <c r="I1294" s="13" t="n">
        <v>475</v>
      </c>
    </row>
    <row r="1295" customFormat="false" ht="15" hidden="false" customHeight="false" outlineLevel="0" collapsed="false">
      <c r="B1295" s="12" t="s">
        <v>49</v>
      </c>
      <c r="C1295" s="12" t="s">
        <v>72</v>
      </c>
      <c r="D1295" s="17" t="s">
        <v>73</v>
      </c>
      <c r="E1295" s="17"/>
      <c r="F1295" s="13" t="n">
        <v>0</v>
      </c>
      <c r="G1295" s="13" t="n">
        <v>12</v>
      </c>
      <c r="H1295" s="18" t="n">
        <f aca="false">N(G1295)-N(F1295)</f>
        <v>12</v>
      </c>
      <c r="I1295" s="13"/>
    </row>
    <row r="1296" customFormat="false" ht="15" hidden="false" customHeight="false" outlineLevel="0" collapsed="false">
      <c r="B1296" s="12" t="s">
        <v>49</v>
      </c>
      <c r="C1296" s="12" t="s">
        <v>74</v>
      </c>
      <c r="D1296" s="17" t="s">
        <v>75</v>
      </c>
      <c r="E1296" s="17" t="s">
        <v>68</v>
      </c>
      <c r="F1296" s="13" t="n">
        <v>10</v>
      </c>
      <c r="G1296" s="13" t="n">
        <v>6</v>
      </c>
      <c r="H1296" s="18" t="n">
        <f aca="false">N(G1296)-N(F1296)</f>
        <v>-4</v>
      </c>
      <c r="I1296" s="13" t="n">
        <v>10</v>
      </c>
    </row>
    <row r="1297" customFormat="false" ht="15" hidden="false" customHeight="false" outlineLevel="0" collapsed="false">
      <c r="B1297" s="12" t="s">
        <v>49</v>
      </c>
      <c r="C1297" s="12" t="s">
        <v>164</v>
      </c>
      <c r="D1297" s="17" t="s">
        <v>165</v>
      </c>
      <c r="E1297" s="17"/>
      <c r="F1297" s="13" t="n">
        <v>0</v>
      </c>
      <c r="G1297" s="13" t="n">
        <v>1</v>
      </c>
      <c r="H1297" s="18" t="n">
        <f aca="false">N(G1297)-N(F1297)</f>
        <v>1</v>
      </c>
      <c r="I1297" s="13"/>
    </row>
    <row r="1298" customFormat="false" ht="15" hidden="false" customHeight="false" outlineLevel="0" collapsed="false">
      <c r="B1298" s="12" t="s">
        <v>49</v>
      </c>
      <c r="C1298" s="12" t="s">
        <v>167</v>
      </c>
      <c r="D1298" s="17" t="s">
        <v>168</v>
      </c>
      <c r="E1298" s="17" t="s">
        <v>68</v>
      </c>
      <c r="F1298" s="13" t="n">
        <v>31</v>
      </c>
      <c r="G1298" s="13" t="n">
        <v>0</v>
      </c>
      <c r="H1298" s="18" t="n">
        <f aca="false">N(G1298)-N(F1298)</f>
        <v>-31</v>
      </c>
      <c r="I1298" s="13" t="n">
        <v>31</v>
      </c>
    </row>
    <row r="1299" customFormat="false" ht="15" hidden="false" customHeight="false" outlineLevel="0" collapsed="false">
      <c r="B1299" s="12" t="s">
        <v>49</v>
      </c>
      <c r="C1299" s="12" t="s">
        <v>76</v>
      </c>
      <c r="D1299" s="17" t="s">
        <v>77</v>
      </c>
      <c r="E1299" s="17" t="s">
        <v>68</v>
      </c>
      <c r="F1299" s="13" t="n">
        <v>2</v>
      </c>
      <c r="G1299" s="13" t="n">
        <v>12</v>
      </c>
      <c r="H1299" s="18" t="n">
        <f aca="false">N(G1299)-N(F1299)</f>
        <v>10</v>
      </c>
      <c r="I1299" s="13" t="n">
        <v>2</v>
      </c>
    </row>
    <row r="1300" customFormat="false" ht="15" hidden="false" customHeight="false" outlineLevel="0" collapsed="false">
      <c r="B1300" s="12" t="s">
        <v>49</v>
      </c>
      <c r="C1300" s="12" t="s">
        <v>78</v>
      </c>
      <c r="D1300" s="17" t="s">
        <v>79</v>
      </c>
      <c r="E1300" s="17" t="s">
        <v>68</v>
      </c>
      <c r="F1300" s="13" t="n">
        <v>300</v>
      </c>
      <c r="G1300" s="13" t="n">
        <v>212</v>
      </c>
      <c r="H1300" s="18" t="n">
        <f aca="false">N(G1300)-N(F1300)</f>
        <v>-88</v>
      </c>
      <c r="I1300" s="13" t="n">
        <v>300</v>
      </c>
    </row>
    <row r="1301" customFormat="false" ht="15" hidden="false" customHeight="false" outlineLevel="0" collapsed="false">
      <c r="B1301" s="12" t="s">
        <v>49</v>
      </c>
      <c r="C1301" s="12" t="s">
        <v>561</v>
      </c>
      <c r="D1301" s="17" t="s">
        <v>562</v>
      </c>
      <c r="E1301" s="17"/>
      <c r="F1301" s="13" t="n">
        <v>0</v>
      </c>
      <c r="G1301" s="13" t="n">
        <v>1</v>
      </c>
      <c r="H1301" s="18" t="n">
        <f aca="false">N(G1301)-N(F1301)</f>
        <v>1</v>
      </c>
      <c r="I1301" s="13"/>
    </row>
    <row r="1302" customFormat="false" ht="15" hidden="false" customHeight="false" outlineLevel="0" collapsed="false">
      <c r="B1302" s="12" t="s">
        <v>49</v>
      </c>
      <c r="C1302" s="12" t="s">
        <v>288</v>
      </c>
      <c r="D1302" s="17" t="s">
        <v>289</v>
      </c>
      <c r="E1302" s="17" t="s">
        <v>68</v>
      </c>
      <c r="F1302" s="13" t="n">
        <v>100</v>
      </c>
      <c r="G1302" s="13" t="n">
        <v>18</v>
      </c>
      <c r="H1302" s="18" t="n">
        <f aca="false">N(G1302)-N(F1302)</f>
        <v>-82</v>
      </c>
      <c r="I1302" s="13" t="n">
        <v>100</v>
      </c>
    </row>
    <row r="1303" customFormat="false" ht="15" hidden="false" customHeight="false" outlineLevel="0" collapsed="false">
      <c r="B1303" s="12" t="s">
        <v>49</v>
      </c>
      <c r="C1303" s="12" t="s">
        <v>389</v>
      </c>
      <c r="D1303" s="17" t="s">
        <v>390</v>
      </c>
      <c r="E1303" s="17" t="s">
        <v>68</v>
      </c>
      <c r="F1303" s="13" t="n">
        <v>0</v>
      </c>
      <c r="G1303" s="13" t="n">
        <v>25</v>
      </c>
      <c r="H1303" s="18" t="n">
        <f aca="false">N(G1303)-N(F1303)</f>
        <v>25</v>
      </c>
      <c r="I1303" s="13" t="n">
        <v>29</v>
      </c>
    </row>
    <row r="1304" customFormat="false" ht="15" hidden="false" customHeight="false" outlineLevel="0" collapsed="false">
      <c r="B1304" s="12" t="s">
        <v>49</v>
      </c>
      <c r="C1304" s="12" t="s">
        <v>80</v>
      </c>
      <c r="D1304" s="17" t="s">
        <v>81</v>
      </c>
      <c r="E1304" s="17" t="s">
        <v>68</v>
      </c>
      <c r="F1304" s="13" t="n">
        <v>200</v>
      </c>
      <c r="G1304" s="13" t="n">
        <v>293</v>
      </c>
      <c r="H1304" s="18" t="n">
        <f aca="false">N(G1304)-N(F1304)</f>
        <v>93</v>
      </c>
      <c r="I1304" s="13" t="n">
        <v>200</v>
      </c>
    </row>
    <row r="1305" customFormat="false" ht="15" hidden="false" customHeight="false" outlineLevel="0" collapsed="false">
      <c r="B1305" s="12" t="s">
        <v>49</v>
      </c>
      <c r="C1305" s="12" t="s">
        <v>82</v>
      </c>
      <c r="D1305" s="17" t="s">
        <v>83</v>
      </c>
      <c r="E1305" s="17"/>
      <c r="F1305" s="13" t="n">
        <v>0</v>
      </c>
      <c r="G1305" s="13" t="n">
        <v>3</v>
      </c>
      <c r="H1305" s="18" t="n">
        <f aca="false">N(G1305)-N(F1305)</f>
        <v>3</v>
      </c>
      <c r="I1305" s="13"/>
    </row>
    <row r="1306" customFormat="false" ht="15" hidden="false" customHeight="false" outlineLevel="0" collapsed="false">
      <c r="B1306" s="12" t="s">
        <v>49</v>
      </c>
      <c r="C1306" s="12" t="s">
        <v>316</v>
      </c>
      <c r="D1306" s="17" t="s">
        <v>317</v>
      </c>
      <c r="E1306" s="17"/>
      <c r="F1306" s="13" t="n">
        <v>0</v>
      </c>
      <c r="G1306" s="13" t="n">
        <v>48</v>
      </c>
      <c r="H1306" s="18" t="n">
        <f aca="false">N(G1306)-N(F1306)</f>
        <v>48</v>
      </c>
      <c r="I1306" s="13"/>
    </row>
    <row r="1307" customFormat="false" ht="15" hidden="false" customHeight="false" outlineLevel="0" collapsed="false">
      <c r="B1307" s="12" t="s">
        <v>49</v>
      </c>
      <c r="C1307" s="12" t="s">
        <v>446</v>
      </c>
      <c r="D1307" s="17" t="s">
        <v>447</v>
      </c>
      <c r="E1307" s="17"/>
      <c r="F1307" s="13" t="n">
        <v>0</v>
      </c>
      <c r="G1307" s="13" t="n">
        <v>4016</v>
      </c>
      <c r="H1307" s="18" t="n">
        <f aca="false">N(G1307)-N(F1307)</f>
        <v>4016</v>
      </c>
      <c r="I1307" s="13"/>
    </row>
    <row r="1308" customFormat="false" ht="15" hidden="false" customHeight="false" outlineLevel="0" collapsed="false">
      <c r="B1308" s="12" t="s">
        <v>49</v>
      </c>
      <c r="C1308" s="12" t="s">
        <v>190</v>
      </c>
      <c r="D1308" s="17" t="s">
        <v>191</v>
      </c>
      <c r="E1308" s="17"/>
      <c r="F1308" s="13" t="n">
        <v>0</v>
      </c>
      <c r="G1308" s="13" t="n">
        <v>1</v>
      </c>
      <c r="H1308" s="18" t="n">
        <f aca="false">N(G1308)-N(F1308)</f>
        <v>1</v>
      </c>
      <c r="I1308" s="13"/>
    </row>
    <row r="1309" customFormat="false" ht="15" hidden="false" customHeight="false" outlineLevel="0" collapsed="false">
      <c r="B1309" s="12" t="s">
        <v>49</v>
      </c>
      <c r="C1309" s="12" t="s">
        <v>237</v>
      </c>
      <c r="D1309" s="17" t="s">
        <v>238</v>
      </c>
      <c r="E1309" s="17" t="s">
        <v>68</v>
      </c>
      <c r="F1309" s="13" t="n">
        <v>21</v>
      </c>
      <c r="G1309" s="13" t="n">
        <v>1</v>
      </c>
      <c r="H1309" s="18" t="n">
        <f aca="false">N(G1309)-N(F1309)</f>
        <v>-20</v>
      </c>
      <c r="I1309" s="13" t="n">
        <v>21</v>
      </c>
    </row>
    <row r="1310" customFormat="false" ht="15" hidden="false" customHeight="false" outlineLevel="0" collapsed="false">
      <c r="B1310" s="12" t="s">
        <v>49</v>
      </c>
      <c r="C1310" s="12" t="s">
        <v>84</v>
      </c>
      <c r="D1310" s="17" t="s">
        <v>85</v>
      </c>
      <c r="E1310" s="17" t="s">
        <v>68</v>
      </c>
      <c r="F1310" s="13" t="n">
        <v>110</v>
      </c>
      <c r="G1310" s="13" t="n">
        <v>102</v>
      </c>
      <c r="H1310" s="18" t="n">
        <f aca="false">N(G1310)-N(F1310)</f>
        <v>-8</v>
      </c>
      <c r="I1310" s="13" t="n">
        <v>110</v>
      </c>
    </row>
    <row r="1311" customFormat="false" ht="15" hidden="false" customHeight="false" outlineLevel="0" collapsed="false">
      <c r="B1311" s="12" t="s">
        <v>49</v>
      </c>
      <c r="C1311" s="12" t="s">
        <v>193</v>
      </c>
      <c r="D1311" s="17" t="s">
        <v>194</v>
      </c>
      <c r="E1311" s="17" t="s">
        <v>68</v>
      </c>
      <c r="F1311" s="13" t="n">
        <v>2</v>
      </c>
      <c r="G1311" s="13" t="n">
        <v>15</v>
      </c>
      <c r="H1311" s="18" t="n">
        <f aca="false">N(G1311)-N(F1311)</f>
        <v>13</v>
      </c>
      <c r="I1311" s="13" t="n">
        <v>2</v>
      </c>
    </row>
    <row r="1312" customFormat="false" ht="15" hidden="false" customHeight="false" outlineLevel="0" collapsed="false">
      <c r="B1312" s="12" t="s">
        <v>49</v>
      </c>
      <c r="C1312" s="12" t="s">
        <v>86</v>
      </c>
      <c r="D1312" s="17" t="s">
        <v>87</v>
      </c>
      <c r="E1312" s="17" t="s">
        <v>68</v>
      </c>
      <c r="F1312" s="13" t="n">
        <v>10</v>
      </c>
      <c r="G1312" s="13" t="n">
        <v>16</v>
      </c>
      <c r="H1312" s="18" t="n">
        <f aca="false">N(G1312)-N(F1312)</f>
        <v>6</v>
      </c>
      <c r="I1312" s="13" t="n">
        <v>10</v>
      </c>
    </row>
    <row r="1313" customFormat="false" ht="15" hidden="false" customHeight="false" outlineLevel="0" collapsed="false">
      <c r="B1313" s="12" t="s">
        <v>49</v>
      </c>
      <c r="C1313" s="12" t="s">
        <v>392</v>
      </c>
      <c r="D1313" s="17" t="s">
        <v>393</v>
      </c>
      <c r="E1313" s="17"/>
      <c r="F1313" s="13" t="n">
        <v>13</v>
      </c>
      <c r="G1313" s="13" t="n">
        <v>14</v>
      </c>
      <c r="H1313" s="18" t="n">
        <f aca="false">N(G1313)-N(F1313)</f>
        <v>1</v>
      </c>
      <c r="I1313" s="13"/>
    </row>
    <row r="1314" customFormat="false" ht="15" hidden="false" customHeight="false" outlineLevel="0" collapsed="false">
      <c r="B1314" s="12" t="s">
        <v>49</v>
      </c>
      <c r="C1314" s="12" t="s">
        <v>132</v>
      </c>
      <c r="D1314" s="17" t="s">
        <v>133</v>
      </c>
      <c r="E1314" s="17" t="s">
        <v>68</v>
      </c>
      <c r="F1314" s="13" t="n">
        <v>53</v>
      </c>
      <c r="G1314" s="13" t="n">
        <v>52</v>
      </c>
      <c r="H1314" s="18" t="n">
        <f aca="false">N(G1314)-N(F1314)</f>
        <v>-1</v>
      </c>
      <c r="I1314" s="13" t="n">
        <v>169</v>
      </c>
    </row>
    <row r="1315" customFormat="false" ht="15" hidden="false" customHeight="false" outlineLevel="0" collapsed="false">
      <c r="B1315" s="12" t="s">
        <v>49</v>
      </c>
      <c r="C1315" s="12" t="s">
        <v>196</v>
      </c>
      <c r="D1315" s="17" t="s">
        <v>197</v>
      </c>
      <c r="E1315" s="17" t="s">
        <v>68</v>
      </c>
      <c r="F1315" s="13" t="n">
        <v>2</v>
      </c>
      <c r="G1315" s="13" t="n">
        <v>15</v>
      </c>
      <c r="H1315" s="18" t="n">
        <f aca="false">N(G1315)-N(F1315)</f>
        <v>13</v>
      </c>
      <c r="I1315" s="13" t="n">
        <v>2</v>
      </c>
    </row>
    <row r="1316" customFormat="false" ht="15" hidden="false" customHeight="false" outlineLevel="0" collapsed="false">
      <c r="B1316" s="12" t="s">
        <v>49</v>
      </c>
      <c r="C1316" s="12" t="s">
        <v>110</v>
      </c>
      <c r="D1316" s="17" t="s">
        <v>111</v>
      </c>
      <c r="E1316" s="17" t="s">
        <v>68</v>
      </c>
      <c r="F1316" s="13" t="n">
        <v>30</v>
      </c>
      <c r="G1316" s="13" t="n">
        <v>63</v>
      </c>
      <c r="H1316" s="18" t="n">
        <f aca="false">N(G1316)-N(F1316)</f>
        <v>33</v>
      </c>
      <c r="I1316" s="13" t="n">
        <v>30</v>
      </c>
    </row>
    <row r="1317" customFormat="false" ht="15" hidden="false" customHeight="false" outlineLevel="0" collapsed="false">
      <c r="B1317" s="12" t="s">
        <v>49</v>
      </c>
      <c r="C1317" s="12" t="s">
        <v>135</v>
      </c>
      <c r="D1317" s="17" t="s">
        <v>136</v>
      </c>
      <c r="E1317" s="17"/>
      <c r="F1317" s="13" t="n">
        <v>6000</v>
      </c>
      <c r="G1317" s="13" t="n">
        <v>416</v>
      </c>
      <c r="H1317" s="18" t="n">
        <f aca="false">N(G1317)-N(F1317)</f>
        <v>-5584</v>
      </c>
      <c r="I1317" s="13"/>
    </row>
    <row r="1318" customFormat="false" ht="15" hidden="false" customHeight="false" outlineLevel="0" collapsed="false">
      <c r="B1318" s="12" t="s">
        <v>49</v>
      </c>
      <c r="C1318" s="12" t="s">
        <v>319</v>
      </c>
      <c r="D1318" s="17" t="s">
        <v>320</v>
      </c>
      <c r="E1318" s="17"/>
      <c r="F1318" s="13" t="n">
        <v>0</v>
      </c>
      <c r="G1318" s="13" t="n">
        <v>2</v>
      </c>
      <c r="H1318" s="18" t="n">
        <f aca="false">N(G1318)-N(F1318)</f>
        <v>2</v>
      </c>
      <c r="I1318" s="13"/>
    </row>
    <row r="1319" customFormat="false" ht="15" hidden="false" customHeight="false" outlineLevel="0" collapsed="false">
      <c r="B1319" s="12" t="s">
        <v>49</v>
      </c>
      <c r="C1319" s="12" t="s">
        <v>170</v>
      </c>
      <c r="D1319" s="17" t="s">
        <v>171</v>
      </c>
      <c r="E1319" s="17"/>
      <c r="F1319" s="13" t="n">
        <v>200</v>
      </c>
      <c r="G1319" s="13" t="n">
        <v>114</v>
      </c>
      <c r="H1319" s="18" t="n">
        <f aca="false">N(G1319)-N(F1319)</f>
        <v>-86</v>
      </c>
      <c r="I1319" s="13"/>
    </row>
    <row r="1320" customFormat="false" ht="15" hidden="false" customHeight="false" outlineLevel="0" collapsed="false">
      <c r="B1320" s="12" t="s">
        <v>49</v>
      </c>
      <c r="C1320" s="12" t="s">
        <v>198</v>
      </c>
      <c r="D1320" s="17" t="s">
        <v>199</v>
      </c>
      <c r="E1320" s="17"/>
      <c r="F1320" s="13" t="n">
        <v>0</v>
      </c>
      <c r="G1320" s="13" t="n">
        <v>1</v>
      </c>
      <c r="H1320" s="18" t="n">
        <f aca="false">N(G1320)-N(F1320)</f>
        <v>1</v>
      </c>
      <c r="I1320" s="13"/>
    </row>
    <row r="1321" customFormat="false" ht="15" hidden="false" customHeight="false" outlineLevel="0" collapsed="false">
      <c r="B1321" s="12" t="s">
        <v>49</v>
      </c>
      <c r="C1321" s="12" t="s">
        <v>88</v>
      </c>
      <c r="D1321" s="17" t="s">
        <v>89</v>
      </c>
      <c r="E1321" s="17" t="s">
        <v>68</v>
      </c>
      <c r="F1321" s="13" t="n">
        <v>140</v>
      </c>
      <c r="G1321" s="13" t="n">
        <v>72</v>
      </c>
      <c r="H1321" s="18" t="n">
        <f aca="false">N(G1321)-N(F1321)</f>
        <v>-68</v>
      </c>
      <c r="I1321" s="13" t="n">
        <v>140</v>
      </c>
    </row>
    <row r="1322" customFormat="false" ht="15" hidden="false" customHeight="false" outlineLevel="0" collapsed="false">
      <c r="B1322" s="12" t="s">
        <v>49</v>
      </c>
      <c r="C1322" s="12" t="s">
        <v>90</v>
      </c>
      <c r="D1322" s="17" t="s">
        <v>91</v>
      </c>
      <c r="E1322" s="17" t="s">
        <v>68</v>
      </c>
      <c r="F1322" s="13" t="n">
        <v>40</v>
      </c>
      <c r="G1322" s="13" t="n">
        <v>42</v>
      </c>
      <c r="H1322" s="18" t="n">
        <f aca="false">N(G1322)-N(F1322)</f>
        <v>2</v>
      </c>
      <c r="I1322" s="13" t="n">
        <v>40</v>
      </c>
    </row>
    <row r="1323" customFormat="false" ht="15" hidden="false" customHeight="false" outlineLevel="0" collapsed="false">
      <c r="B1323" s="12" t="s">
        <v>49</v>
      </c>
      <c r="C1323" s="12" t="s">
        <v>92</v>
      </c>
      <c r="D1323" s="17" t="s">
        <v>93</v>
      </c>
      <c r="E1323" s="17"/>
      <c r="F1323" s="13" t="n">
        <v>0</v>
      </c>
      <c r="G1323" s="13" t="n">
        <v>195</v>
      </c>
      <c r="H1323" s="18" t="n">
        <f aca="false">N(G1323)-N(F1323)</f>
        <v>195</v>
      </c>
      <c r="I1323" s="13"/>
    </row>
    <row r="1324" customFormat="false" ht="15" hidden="false" customHeight="false" outlineLevel="0" collapsed="false">
      <c r="B1324" s="12" t="s">
        <v>49</v>
      </c>
      <c r="C1324" s="12" t="s">
        <v>300</v>
      </c>
      <c r="D1324" s="17" t="s">
        <v>301</v>
      </c>
      <c r="E1324" s="17"/>
      <c r="F1324" s="13" t="n">
        <v>0</v>
      </c>
      <c r="G1324" s="13" t="n">
        <v>6</v>
      </c>
      <c r="H1324" s="18" t="n">
        <f aca="false">N(G1324)-N(F1324)</f>
        <v>6</v>
      </c>
      <c r="I1324" s="13"/>
    </row>
    <row r="1325" customFormat="false" ht="15" hidden="false" customHeight="false" outlineLevel="0" collapsed="false">
      <c r="B1325" s="12" t="s">
        <v>49</v>
      </c>
      <c r="C1325" s="12" t="s">
        <v>325</v>
      </c>
      <c r="D1325" s="17" t="s">
        <v>326</v>
      </c>
      <c r="E1325" s="17" t="s">
        <v>68</v>
      </c>
      <c r="F1325" s="13" t="n">
        <v>21</v>
      </c>
      <c r="G1325" s="13" t="n">
        <v>2</v>
      </c>
      <c r="H1325" s="18" t="n">
        <f aca="false">N(G1325)-N(F1325)</f>
        <v>-19</v>
      </c>
      <c r="I1325" s="13" t="n">
        <v>21</v>
      </c>
    </row>
    <row r="1326" customFormat="false" ht="15" hidden="false" customHeight="false" outlineLevel="0" collapsed="false">
      <c r="B1326" s="12" t="s">
        <v>49</v>
      </c>
      <c r="C1326" s="12" t="s">
        <v>95</v>
      </c>
      <c r="D1326" s="17" t="s">
        <v>96</v>
      </c>
      <c r="E1326" s="17"/>
      <c r="F1326" s="13" t="n">
        <v>80</v>
      </c>
      <c r="G1326" s="13" t="n">
        <v>30</v>
      </c>
      <c r="H1326" s="18" t="n">
        <f aca="false">N(G1326)-N(F1326)</f>
        <v>-50</v>
      </c>
      <c r="I1326" s="13"/>
    </row>
    <row r="1327" customFormat="false" ht="15" hidden="false" customHeight="false" outlineLevel="0" collapsed="false">
      <c r="B1327" s="12" t="s">
        <v>49</v>
      </c>
      <c r="C1327" s="12" t="s">
        <v>97</v>
      </c>
      <c r="D1327" s="17" t="s">
        <v>98</v>
      </c>
      <c r="E1327" s="17" t="s">
        <v>68</v>
      </c>
      <c r="F1327" s="13" t="n">
        <v>2</v>
      </c>
      <c r="G1327" s="13" t="n">
        <v>13</v>
      </c>
      <c r="H1327" s="18" t="n">
        <f aca="false">N(G1327)-N(F1327)</f>
        <v>11</v>
      </c>
      <c r="I1327" s="13" t="n">
        <v>2</v>
      </c>
    </row>
    <row r="1328" customFormat="false" ht="15" hidden="false" customHeight="false" outlineLevel="0" collapsed="false">
      <c r="B1328" s="12" t="s">
        <v>49</v>
      </c>
      <c r="C1328" s="12" t="s">
        <v>327</v>
      </c>
      <c r="D1328" s="17" t="s">
        <v>328</v>
      </c>
      <c r="E1328" s="17" t="s">
        <v>68</v>
      </c>
      <c r="F1328" s="13" t="n">
        <v>3</v>
      </c>
      <c r="G1328" s="13" t="n">
        <v>3</v>
      </c>
      <c r="H1328" s="18" t="n">
        <f aca="false">N(G1328)-N(F1328)</f>
        <v>0</v>
      </c>
      <c r="I1328" s="13" t="n">
        <v>3</v>
      </c>
    </row>
    <row r="1329" customFormat="false" ht="15" hidden="false" customHeight="false" outlineLevel="0" collapsed="false">
      <c r="B1329" s="12" t="s">
        <v>49</v>
      </c>
      <c r="C1329" s="12" t="s">
        <v>457</v>
      </c>
      <c r="D1329" s="17" t="s">
        <v>458</v>
      </c>
      <c r="E1329" s="17"/>
      <c r="F1329" s="13" t="n">
        <v>0</v>
      </c>
      <c r="G1329" s="13" t="n">
        <v>210</v>
      </c>
      <c r="H1329" s="18" t="n">
        <f aca="false">N(G1329)-N(F1329)</f>
        <v>210</v>
      </c>
      <c r="I1329" s="13"/>
    </row>
    <row r="1330" customFormat="false" ht="15" hidden="false" customHeight="false" outlineLevel="0" collapsed="false">
      <c r="B1330" s="12" t="s">
        <v>49</v>
      </c>
      <c r="C1330" s="12" t="s">
        <v>201</v>
      </c>
      <c r="D1330" s="17" t="s">
        <v>202</v>
      </c>
      <c r="E1330" s="17" t="s">
        <v>68</v>
      </c>
      <c r="F1330" s="13" t="n">
        <v>120</v>
      </c>
      <c r="G1330" s="13" t="n">
        <v>144</v>
      </c>
      <c r="H1330" s="18" t="n">
        <f aca="false">N(G1330)-N(F1330)</f>
        <v>24</v>
      </c>
      <c r="I1330" s="13" t="n">
        <v>120</v>
      </c>
    </row>
    <row r="1331" customFormat="false" ht="15" hidden="false" customHeight="false" outlineLevel="0" collapsed="false">
      <c r="B1331" s="12" t="s">
        <v>49</v>
      </c>
      <c r="C1331" s="12" t="s">
        <v>138</v>
      </c>
      <c r="D1331" s="17" t="s">
        <v>139</v>
      </c>
      <c r="E1331" s="17" t="s">
        <v>68</v>
      </c>
      <c r="F1331" s="13" t="n">
        <v>2</v>
      </c>
      <c r="G1331" s="13" t="n">
        <v>15</v>
      </c>
      <c r="H1331" s="18" t="n">
        <f aca="false">N(G1331)-N(F1331)</f>
        <v>13</v>
      </c>
      <c r="I1331" s="13" t="n">
        <v>2</v>
      </c>
    </row>
    <row r="1332" customFormat="false" ht="15" hidden="false" customHeight="false" outlineLevel="0" collapsed="false">
      <c r="B1332" s="12" t="s">
        <v>49</v>
      </c>
      <c r="C1332" s="12" t="s">
        <v>242</v>
      </c>
      <c r="D1332" s="17" t="s">
        <v>243</v>
      </c>
      <c r="E1332" s="17"/>
      <c r="F1332" s="13" t="n">
        <v>0</v>
      </c>
      <c r="G1332" s="13" t="n">
        <v>3</v>
      </c>
      <c r="H1332" s="18" t="n">
        <f aca="false">N(G1332)-N(F1332)</f>
        <v>3</v>
      </c>
      <c r="I1332" s="13"/>
    </row>
    <row r="1333" customFormat="false" ht="15" hidden="false" customHeight="false" outlineLevel="0" collapsed="false">
      <c r="B1333" s="12" t="s">
        <v>49</v>
      </c>
      <c r="C1333" s="12" t="s">
        <v>429</v>
      </c>
      <c r="D1333" s="17" t="s">
        <v>430</v>
      </c>
      <c r="E1333" s="17" t="s">
        <v>68</v>
      </c>
      <c r="F1333" s="13" t="n">
        <v>0</v>
      </c>
      <c r="G1333" s="13" t="n">
        <v>0</v>
      </c>
      <c r="H1333" s="18" t="n">
        <f aca="false">N(G1333)-N(F1333)</f>
        <v>0</v>
      </c>
      <c r="I1333" s="13" t="n">
        <v>70</v>
      </c>
    </row>
    <row r="1334" customFormat="false" ht="15" hidden="false" customHeight="false" outlineLevel="0" collapsed="false">
      <c r="B1334" s="12" t="s">
        <v>49</v>
      </c>
      <c r="C1334" s="12" t="s">
        <v>113</v>
      </c>
      <c r="D1334" s="17" t="s">
        <v>114</v>
      </c>
      <c r="E1334" s="17" t="s">
        <v>68</v>
      </c>
      <c r="F1334" s="13" t="n">
        <v>140</v>
      </c>
      <c r="G1334" s="13" t="n">
        <v>69</v>
      </c>
      <c r="H1334" s="18" t="n">
        <f aca="false">N(G1334)-N(F1334)</f>
        <v>-71</v>
      </c>
      <c r="I1334" s="13" t="n">
        <v>140</v>
      </c>
    </row>
    <row r="1335" customFormat="false" ht="15" hidden="false" customHeight="false" outlineLevel="0" collapsed="false">
      <c r="B1335" s="12" t="s">
        <v>49</v>
      </c>
      <c r="C1335" s="12" t="s">
        <v>329</v>
      </c>
      <c r="D1335" s="17" t="s">
        <v>330</v>
      </c>
      <c r="E1335" s="17"/>
      <c r="F1335" s="13" t="n">
        <v>0</v>
      </c>
      <c r="G1335" s="13" t="n">
        <v>72</v>
      </c>
      <c r="H1335" s="18" t="n">
        <f aca="false">N(G1335)-N(F1335)</f>
        <v>72</v>
      </c>
      <c r="I1335" s="13"/>
    </row>
    <row r="1336" customFormat="false" ht="15" hidden="false" customHeight="false" outlineLevel="0" collapsed="false">
      <c r="B1336" s="12" t="s">
        <v>49</v>
      </c>
      <c r="C1336" s="12" t="s">
        <v>304</v>
      </c>
      <c r="D1336" s="17" t="s">
        <v>305</v>
      </c>
      <c r="E1336" s="17" t="s">
        <v>68</v>
      </c>
      <c r="F1336" s="13" t="n">
        <v>58</v>
      </c>
      <c r="G1336" s="13" t="n">
        <v>72</v>
      </c>
      <c r="H1336" s="18" t="n">
        <f aca="false">N(G1336)-N(F1336)</f>
        <v>14</v>
      </c>
      <c r="I1336" s="13" t="n">
        <v>58</v>
      </c>
    </row>
    <row r="1337" customFormat="false" ht="15" hidden="false" customHeight="false" outlineLevel="0" collapsed="false">
      <c r="B1337" s="12" t="s">
        <v>49</v>
      </c>
      <c r="C1337" s="12" t="s">
        <v>115</v>
      </c>
      <c r="D1337" s="17" t="s">
        <v>116</v>
      </c>
      <c r="E1337" s="17" t="s">
        <v>68</v>
      </c>
      <c r="F1337" s="13" t="n">
        <v>0</v>
      </c>
      <c r="G1337" s="13" t="n">
        <v>0</v>
      </c>
      <c r="H1337" s="18" t="n">
        <f aca="false">N(G1337)-N(F1337)</f>
        <v>0</v>
      </c>
      <c r="I1337" s="13" t="n">
        <v>1</v>
      </c>
    </row>
    <row r="1338" customFormat="false" ht="15" hidden="false" customHeight="false" outlineLevel="0" collapsed="false">
      <c r="B1338" s="12" t="s">
        <v>49</v>
      </c>
      <c r="C1338" s="12" t="s">
        <v>332</v>
      </c>
      <c r="D1338" s="17" t="s">
        <v>333</v>
      </c>
      <c r="E1338" s="17" t="s">
        <v>68</v>
      </c>
      <c r="F1338" s="13" t="n">
        <v>75</v>
      </c>
      <c r="G1338" s="13" t="n">
        <v>72</v>
      </c>
      <c r="H1338" s="18" t="n">
        <f aca="false">N(G1338)-N(F1338)</f>
        <v>-3</v>
      </c>
      <c r="I1338" s="13" t="n">
        <v>75</v>
      </c>
    </row>
    <row r="1339" customFormat="false" ht="15" hidden="false" customHeight="false" outlineLevel="0" collapsed="false">
      <c r="B1339" s="12" t="s">
        <v>49</v>
      </c>
      <c r="C1339" s="12" t="s">
        <v>401</v>
      </c>
      <c r="D1339" s="17" t="s">
        <v>402</v>
      </c>
      <c r="E1339" s="17" t="s">
        <v>68</v>
      </c>
      <c r="F1339" s="13" t="n">
        <v>0</v>
      </c>
      <c r="G1339" s="13" t="n">
        <v>2</v>
      </c>
      <c r="H1339" s="18" t="n">
        <f aca="false">N(G1339)-N(F1339)</f>
        <v>2</v>
      </c>
      <c r="I1339" s="13" t="n">
        <v>2</v>
      </c>
    </row>
    <row r="1340" customFormat="false" ht="15" hidden="false" customHeight="false" outlineLevel="0" collapsed="false">
      <c r="B1340" s="12" t="s">
        <v>49</v>
      </c>
      <c r="C1340" s="12" t="s">
        <v>369</v>
      </c>
      <c r="D1340" s="17" t="s">
        <v>370</v>
      </c>
      <c r="E1340" s="17"/>
      <c r="F1340" s="13" t="n">
        <v>0</v>
      </c>
      <c r="G1340" s="13" t="n">
        <v>14</v>
      </c>
      <c r="H1340" s="18" t="n">
        <f aca="false">N(G1340)-N(F1340)</f>
        <v>14</v>
      </c>
      <c r="I1340" s="13"/>
    </row>
    <row r="1341" customFormat="false" ht="15" hidden="false" customHeight="false" outlineLevel="0" collapsed="false">
      <c r="B1341" s="12" t="s">
        <v>49</v>
      </c>
      <c r="C1341" s="12" t="s">
        <v>118</v>
      </c>
      <c r="D1341" s="17" t="s">
        <v>119</v>
      </c>
      <c r="E1341" s="17" t="s">
        <v>68</v>
      </c>
      <c r="F1341" s="13" t="n">
        <v>30</v>
      </c>
      <c r="G1341" s="13" t="n">
        <v>28</v>
      </c>
      <c r="H1341" s="18" t="n">
        <f aca="false">N(G1341)-N(F1341)</f>
        <v>-2</v>
      </c>
      <c r="I1341" s="13" t="n">
        <v>30</v>
      </c>
    </row>
    <row r="1342" customFormat="false" ht="15" hidden="false" customHeight="false" outlineLevel="0" collapsed="false">
      <c r="B1342" s="12" t="s">
        <v>49</v>
      </c>
      <c r="C1342" s="12" t="s">
        <v>334</v>
      </c>
      <c r="D1342" s="17" t="s">
        <v>335</v>
      </c>
      <c r="E1342" s="17"/>
      <c r="F1342" s="13" t="n">
        <v>0</v>
      </c>
      <c r="G1342" s="13" t="n">
        <v>6</v>
      </c>
      <c r="H1342" s="18" t="n">
        <f aca="false">N(G1342)-N(F1342)</f>
        <v>6</v>
      </c>
      <c r="I1342" s="13"/>
    </row>
    <row r="1343" customFormat="false" ht="15" hidden="false" customHeight="false" outlineLevel="0" collapsed="false">
      <c r="B1343" s="12" t="s">
        <v>49</v>
      </c>
      <c r="C1343" s="12" t="s">
        <v>99</v>
      </c>
      <c r="D1343" s="17" t="s">
        <v>100</v>
      </c>
      <c r="E1343" s="17" t="s">
        <v>68</v>
      </c>
      <c r="F1343" s="13" t="n">
        <v>120</v>
      </c>
      <c r="G1343" s="13" t="n">
        <v>114</v>
      </c>
      <c r="H1343" s="18" t="n">
        <f aca="false">N(G1343)-N(F1343)</f>
        <v>-6</v>
      </c>
      <c r="I1343" s="13" t="n">
        <v>120</v>
      </c>
    </row>
    <row r="1344" customFormat="false" ht="15" hidden="false" customHeight="false" outlineLevel="0" collapsed="false">
      <c r="B1344" s="12" t="s">
        <v>49</v>
      </c>
      <c r="C1344" s="12" t="s">
        <v>173</v>
      </c>
      <c r="D1344" s="17" t="s">
        <v>174</v>
      </c>
      <c r="E1344" s="17" t="s">
        <v>68</v>
      </c>
      <c r="F1344" s="13" t="n">
        <v>6</v>
      </c>
      <c r="G1344" s="13" t="n">
        <v>30</v>
      </c>
      <c r="H1344" s="18" t="n">
        <f aca="false">N(G1344)-N(F1344)</f>
        <v>24</v>
      </c>
      <c r="I1344" s="13" t="n">
        <v>6</v>
      </c>
    </row>
    <row r="1345" customFormat="false" ht="15" hidden="false" customHeight="false" outlineLevel="0" collapsed="false">
      <c r="B1345" s="12" t="s">
        <v>49</v>
      </c>
      <c r="C1345" s="12" t="s">
        <v>336</v>
      </c>
      <c r="D1345" s="17" t="s">
        <v>337</v>
      </c>
      <c r="E1345" s="17"/>
      <c r="F1345" s="13" t="n">
        <v>0</v>
      </c>
      <c r="G1345" s="13" t="n">
        <v>6</v>
      </c>
      <c r="H1345" s="18" t="n">
        <f aca="false">N(G1345)-N(F1345)</f>
        <v>6</v>
      </c>
      <c r="I1345" s="13"/>
    </row>
    <row r="1346" customFormat="false" ht="15" hidden="false" customHeight="false" outlineLevel="0" collapsed="false">
      <c r="B1346" s="12" t="s">
        <v>49</v>
      </c>
      <c r="C1346" s="12" t="s">
        <v>338</v>
      </c>
      <c r="D1346" s="17" t="s">
        <v>339</v>
      </c>
      <c r="E1346" s="17" t="s">
        <v>68</v>
      </c>
      <c r="F1346" s="13" t="n">
        <v>0</v>
      </c>
      <c r="G1346" s="13" t="n">
        <v>1</v>
      </c>
      <c r="H1346" s="18" t="n">
        <f aca="false">N(G1346)-N(F1346)</f>
        <v>1</v>
      </c>
      <c r="I1346" s="13" t="n">
        <v>50</v>
      </c>
    </row>
    <row r="1347" customFormat="false" ht="15" hidden="false" customHeight="false" outlineLevel="0" collapsed="false">
      <c r="B1347" s="12" t="s">
        <v>49</v>
      </c>
      <c r="C1347" s="12" t="s">
        <v>101</v>
      </c>
      <c r="D1347" s="17" t="s">
        <v>102</v>
      </c>
      <c r="E1347" s="17" t="s">
        <v>68</v>
      </c>
      <c r="F1347" s="13" t="n">
        <v>0</v>
      </c>
      <c r="G1347" s="13" t="n">
        <v>9</v>
      </c>
      <c r="H1347" s="18" t="n">
        <f aca="false">N(G1347)-N(F1347)</f>
        <v>9</v>
      </c>
      <c r="I1347" s="13" t="n">
        <v>32</v>
      </c>
    </row>
    <row r="1348" customFormat="false" ht="15" hidden="false" customHeight="false" outlineLevel="0" collapsed="false">
      <c r="B1348" s="12" t="s">
        <v>49</v>
      </c>
      <c r="C1348" s="12" t="s">
        <v>121</v>
      </c>
      <c r="D1348" s="17" t="s">
        <v>122</v>
      </c>
      <c r="E1348" s="17"/>
      <c r="F1348" s="13" t="n">
        <v>0</v>
      </c>
      <c r="G1348" s="13" t="n">
        <v>3</v>
      </c>
      <c r="H1348" s="18" t="n">
        <f aca="false">N(G1348)-N(F1348)</f>
        <v>3</v>
      </c>
      <c r="I1348" s="13"/>
    </row>
    <row r="1349" customFormat="false" ht="15" hidden="false" customHeight="false" outlineLevel="0" collapsed="false">
      <c r="B1349" s="12" t="s">
        <v>49</v>
      </c>
      <c r="C1349" s="12" t="s">
        <v>245</v>
      </c>
      <c r="D1349" s="17" t="s">
        <v>246</v>
      </c>
      <c r="E1349" s="17"/>
      <c r="F1349" s="13" t="n">
        <v>0</v>
      </c>
      <c r="G1349" s="13" t="n">
        <v>6</v>
      </c>
      <c r="H1349" s="18" t="n">
        <f aca="false">N(G1349)-N(F1349)</f>
        <v>6</v>
      </c>
      <c r="I1349" s="13"/>
    </row>
    <row r="1350" customFormat="false" ht="15" hidden="false" customHeight="false" outlineLevel="0" collapsed="false">
      <c r="B1350" s="12" t="s">
        <v>49</v>
      </c>
      <c r="C1350" s="12" t="s">
        <v>141</v>
      </c>
      <c r="D1350" s="17" t="s">
        <v>142</v>
      </c>
      <c r="E1350" s="17"/>
      <c r="F1350" s="13" t="n">
        <v>0</v>
      </c>
      <c r="G1350" s="13" t="n">
        <v>14</v>
      </c>
      <c r="H1350" s="18" t="n">
        <f aca="false">N(G1350)-N(F1350)</f>
        <v>14</v>
      </c>
      <c r="I1350" s="13"/>
    </row>
    <row r="1351" customFormat="false" ht="15" hidden="false" customHeight="false" outlineLevel="0" collapsed="false">
      <c r="B1351" s="12" t="s">
        <v>49</v>
      </c>
      <c r="C1351" s="12" t="s">
        <v>207</v>
      </c>
      <c r="D1351" s="17" t="s">
        <v>208</v>
      </c>
      <c r="E1351" s="17" t="s">
        <v>68</v>
      </c>
      <c r="F1351" s="13" t="n">
        <v>10</v>
      </c>
      <c r="G1351" s="13" t="n">
        <v>8</v>
      </c>
      <c r="H1351" s="18" t="n">
        <f aca="false">N(G1351)-N(F1351)</f>
        <v>-2</v>
      </c>
      <c r="I1351" s="13" t="n">
        <v>10</v>
      </c>
    </row>
    <row r="1352" customFormat="false" ht="15" hidden="false" customHeight="false" outlineLevel="0" collapsed="false">
      <c r="B1352" s="12" t="s">
        <v>49</v>
      </c>
      <c r="C1352" s="12" t="s">
        <v>529</v>
      </c>
      <c r="D1352" s="17" t="s">
        <v>530</v>
      </c>
      <c r="E1352" s="17"/>
      <c r="F1352" s="13" t="n">
        <v>0</v>
      </c>
      <c r="G1352" s="13" t="n">
        <v>1</v>
      </c>
      <c r="H1352" s="18" t="n">
        <f aca="false">N(G1352)-N(F1352)</f>
        <v>1</v>
      </c>
      <c r="I1352" s="13"/>
    </row>
    <row r="1353" customFormat="false" ht="15" hidden="false" customHeight="false" outlineLevel="0" collapsed="false">
      <c r="B1353" s="12" t="s">
        <v>49</v>
      </c>
      <c r="C1353" s="12" t="s">
        <v>212</v>
      </c>
      <c r="D1353" s="17" t="s">
        <v>213</v>
      </c>
      <c r="E1353" s="17"/>
      <c r="F1353" s="13" t="n">
        <v>24</v>
      </c>
      <c r="G1353" s="13" t="n">
        <v>22</v>
      </c>
      <c r="H1353" s="18" t="n">
        <f aca="false">N(G1353)-N(F1353)</f>
        <v>-2</v>
      </c>
      <c r="I1353" s="13"/>
    </row>
    <row r="1354" customFormat="false" ht="15" hidden="false" customHeight="false" outlineLevel="0" collapsed="false">
      <c r="B1354" s="12" t="s">
        <v>49</v>
      </c>
      <c r="C1354" s="12" t="s">
        <v>340</v>
      </c>
      <c r="D1354" s="17" t="s">
        <v>341</v>
      </c>
      <c r="E1354" s="17"/>
      <c r="F1354" s="13" t="n">
        <v>50</v>
      </c>
      <c r="G1354" s="13" t="n">
        <v>1</v>
      </c>
      <c r="H1354" s="18" t="n">
        <f aca="false">N(G1354)-N(F1354)</f>
        <v>-49</v>
      </c>
      <c r="I1354" s="13"/>
    </row>
    <row r="1355" customFormat="false" ht="15" hidden="false" customHeight="false" outlineLevel="0" collapsed="false">
      <c r="B1355" s="12" t="s">
        <v>49</v>
      </c>
      <c r="C1355" s="12" t="s">
        <v>103</v>
      </c>
      <c r="D1355" s="17" t="s">
        <v>104</v>
      </c>
      <c r="E1355" s="17" t="s">
        <v>68</v>
      </c>
      <c r="F1355" s="13" t="n">
        <v>195</v>
      </c>
      <c r="G1355" s="13" t="n">
        <v>221</v>
      </c>
      <c r="H1355" s="18" t="n">
        <f aca="false">N(G1355)-N(F1355)</f>
        <v>26</v>
      </c>
      <c r="I1355" s="13" t="n">
        <v>195</v>
      </c>
    </row>
    <row r="1356" customFormat="false" ht="15" hidden="false" customHeight="false" outlineLevel="0" collapsed="false">
      <c r="B1356" s="12" t="s">
        <v>49</v>
      </c>
      <c r="C1356" s="12" t="s">
        <v>434</v>
      </c>
      <c r="D1356" s="17" t="s">
        <v>435</v>
      </c>
      <c r="E1356" s="17"/>
      <c r="F1356" s="13" t="n">
        <v>0</v>
      </c>
      <c r="G1356" s="13" t="n">
        <v>1</v>
      </c>
      <c r="H1356" s="18" t="n">
        <f aca="false">N(G1356)-N(F1356)</f>
        <v>1</v>
      </c>
      <c r="I1356" s="13"/>
    </row>
    <row r="1357" customFormat="false" ht="15" hidden="false" customHeight="false" outlineLevel="0" collapsed="false">
      <c r="B1357" s="12" t="s">
        <v>49</v>
      </c>
      <c r="C1357" s="12" t="s">
        <v>342</v>
      </c>
      <c r="D1357" s="17" t="s">
        <v>343</v>
      </c>
      <c r="E1357" s="17" t="s">
        <v>68</v>
      </c>
      <c r="F1357" s="13" t="n">
        <v>12</v>
      </c>
      <c r="G1357" s="13" t="n">
        <v>11</v>
      </c>
      <c r="H1357" s="18" t="n">
        <f aca="false">N(G1357)-N(F1357)</f>
        <v>-1</v>
      </c>
      <c r="I1357" s="13" t="n">
        <v>12</v>
      </c>
    </row>
    <row r="1358" customFormat="false" ht="15" hidden="false" customHeight="false" outlineLevel="0" collapsed="false">
      <c r="B1358" s="12" t="s">
        <v>49</v>
      </c>
      <c r="C1358" s="12" t="s">
        <v>143</v>
      </c>
      <c r="D1358" s="17" t="s">
        <v>144</v>
      </c>
      <c r="E1358" s="17" t="s">
        <v>68</v>
      </c>
      <c r="F1358" s="13" t="n">
        <v>3</v>
      </c>
      <c r="G1358" s="13" t="n">
        <v>3</v>
      </c>
      <c r="H1358" s="18" t="n">
        <f aca="false">N(G1358)-N(F1358)</f>
        <v>0</v>
      </c>
      <c r="I1358" s="13" t="n">
        <v>3</v>
      </c>
    </row>
    <row r="1359" customFormat="false" ht="15" hidden="false" customHeight="false" outlineLevel="0" collapsed="false">
      <c r="B1359" s="12" t="s">
        <v>49</v>
      </c>
      <c r="C1359" s="12" t="s">
        <v>146</v>
      </c>
      <c r="D1359" s="17" t="s">
        <v>147</v>
      </c>
      <c r="E1359" s="17"/>
      <c r="F1359" s="13" t="n">
        <v>0</v>
      </c>
      <c r="G1359" s="13" t="n">
        <v>2</v>
      </c>
      <c r="H1359" s="18" t="n">
        <f aca="false">N(G1359)-N(F1359)</f>
        <v>2</v>
      </c>
      <c r="I1359" s="13"/>
    </row>
    <row r="1360" customFormat="false" ht="15" hidden="false" customHeight="false" outlineLevel="0" collapsed="false">
      <c r="B1360" s="12" t="s">
        <v>49</v>
      </c>
      <c r="C1360" s="12" t="s">
        <v>182</v>
      </c>
      <c r="D1360" s="17" t="s">
        <v>183</v>
      </c>
      <c r="E1360" s="17" t="s">
        <v>68</v>
      </c>
      <c r="F1360" s="13" t="n">
        <v>6</v>
      </c>
      <c r="G1360" s="13" t="n">
        <v>19</v>
      </c>
      <c r="H1360" s="18" t="n">
        <f aca="false">N(G1360)-N(F1360)</f>
        <v>13</v>
      </c>
      <c r="I1360" s="13" t="n">
        <v>6</v>
      </c>
    </row>
    <row r="1361" customFormat="false" ht="15" hidden="false" customHeight="false" outlineLevel="0" collapsed="false">
      <c r="B1361" s="12" t="s">
        <v>49</v>
      </c>
      <c r="C1361" s="12" t="s">
        <v>148</v>
      </c>
      <c r="D1361" s="17" t="s">
        <v>149</v>
      </c>
      <c r="E1361" s="17"/>
      <c r="F1361" s="13" t="n">
        <v>0</v>
      </c>
      <c r="G1361" s="13" t="n">
        <v>6</v>
      </c>
      <c r="H1361" s="18" t="n">
        <f aca="false">N(G1361)-N(F1361)</f>
        <v>6</v>
      </c>
      <c r="I1361" s="13"/>
    </row>
    <row r="1362" customFormat="false" ht="15" hidden="false" customHeight="false" outlineLevel="0" collapsed="false">
      <c r="B1362" s="12" t="s">
        <v>49</v>
      </c>
      <c r="C1362" s="12" t="s">
        <v>345</v>
      </c>
      <c r="D1362" s="17" t="s">
        <v>346</v>
      </c>
      <c r="E1362" s="17"/>
      <c r="F1362" s="13" t="n">
        <v>0</v>
      </c>
      <c r="G1362" s="13" t="n">
        <v>12</v>
      </c>
      <c r="H1362" s="18" t="n">
        <f aca="false">N(G1362)-N(F1362)</f>
        <v>12</v>
      </c>
      <c r="I1362" s="13"/>
    </row>
    <row r="1363" customFormat="false" ht="15" hidden="false" customHeight="false" outlineLevel="0" collapsed="false">
      <c r="B1363" s="12" t="s">
        <v>49</v>
      </c>
      <c r="C1363" s="12" t="s">
        <v>350</v>
      </c>
      <c r="D1363" s="17" t="s">
        <v>351</v>
      </c>
      <c r="E1363" s="17" t="s">
        <v>68</v>
      </c>
      <c r="F1363" s="13" t="n">
        <v>58</v>
      </c>
      <c r="G1363" s="13" t="n">
        <v>0</v>
      </c>
      <c r="H1363" s="18" t="n">
        <f aca="false">N(G1363)-N(F1363)</f>
        <v>-58</v>
      </c>
      <c r="I1363" s="13" t="n">
        <v>58</v>
      </c>
    </row>
    <row r="1364" customFormat="false" ht="15" hidden="false" customHeight="false" outlineLevel="0" collapsed="false">
      <c r="B1364" s="12" t="s">
        <v>49</v>
      </c>
      <c r="C1364" s="12" t="s">
        <v>123</v>
      </c>
      <c r="D1364" s="17" t="s">
        <v>124</v>
      </c>
      <c r="E1364" s="17"/>
      <c r="F1364" s="13" t="n">
        <v>300</v>
      </c>
      <c r="G1364" s="13" t="n">
        <v>350</v>
      </c>
      <c r="H1364" s="18" t="n">
        <f aca="false">N(G1364)-N(F1364)</f>
        <v>50</v>
      </c>
      <c r="I1364" s="13"/>
    </row>
    <row r="1365" customFormat="false" ht="15" hidden="false" customHeight="false" outlineLevel="0" collapsed="false">
      <c r="B1365" s="12" t="s">
        <v>49</v>
      </c>
      <c r="C1365" s="12" t="s">
        <v>352</v>
      </c>
      <c r="D1365" s="17" t="s">
        <v>353</v>
      </c>
      <c r="E1365" s="17"/>
      <c r="F1365" s="13" t="n">
        <v>0</v>
      </c>
      <c r="G1365" s="13" t="n">
        <v>12</v>
      </c>
      <c r="H1365" s="18" t="n">
        <f aca="false">N(G1365)-N(F1365)</f>
        <v>12</v>
      </c>
      <c r="I1365" s="13"/>
    </row>
    <row r="1366" customFormat="false" ht="15" hidden="false" customHeight="false" outlineLevel="0" collapsed="false">
      <c r="B1366" s="12" t="s">
        <v>49</v>
      </c>
      <c r="C1366" s="12" t="s">
        <v>105</v>
      </c>
      <c r="D1366" s="17" t="s">
        <v>106</v>
      </c>
      <c r="E1366" s="17"/>
      <c r="F1366" s="13" t="n">
        <v>0</v>
      </c>
      <c r="G1366" s="13" t="n">
        <v>3</v>
      </c>
      <c r="H1366" s="18" t="n">
        <f aca="false">N(G1366)-N(F1366)</f>
        <v>3</v>
      </c>
      <c r="I1366" s="13"/>
    </row>
    <row r="1367" customFormat="false" ht="15" hidden="false" customHeight="false" outlineLevel="0" collapsed="false">
      <c r="B1367" s="12" t="s">
        <v>49</v>
      </c>
      <c r="C1367" s="12" t="s">
        <v>107</v>
      </c>
      <c r="D1367" s="17" t="s">
        <v>108</v>
      </c>
      <c r="E1367" s="17"/>
      <c r="F1367" s="13" t="n">
        <v>0</v>
      </c>
      <c r="G1367" s="13" t="n">
        <v>3</v>
      </c>
      <c r="H1367" s="18" t="n">
        <f aca="false">N(G1367)-N(F1367)</f>
        <v>3</v>
      </c>
      <c r="I1367" s="13"/>
    </row>
    <row r="1368" customFormat="false" ht="15" hidden="false" customHeight="false" outlineLevel="0" collapsed="false">
      <c r="B1368" s="12" t="s">
        <v>49</v>
      </c>
      <c r="C1368" s="12" t="s">
        <v>307</v>
      </c>
      <c r="D1368" s="17" t="s">
        <v>308</v>
      </c>
      <c r="E1368" s="17" t="s">
        <v>68</v>
      </c>
      <c r="F1368" s="13" t="n">
        <v>0</v>
      </c>
      <c r="G1368" s="13" t="n">
        <v>0</v>
      </c>
      <c r="H1368" s="18" t="n">
        <f aca="false">N(G1368)-N(F1368)</f>
        <v>0</v>
      </c>
      <c r="I1368" s="13" t="n">
        <v>10</v>
      </c>
    </row>
    <row r="1369" customFormat="false" ht="15" hidden="false" customHeight="false" outlineLevel="0" collapsed="false">
      <c r="B1369" s="12" t="s">
        <v>49</v>
      </c>
      <c r="C1369" s="12" t="s">
        <v>310</v>
      </c>
      <c r="D1369" s="17" t="s">
        <v>311</v>
      </c>
      <c r="E1369" s="17" t="s">
        <v>68</v>
      </c>
      <c r="F1369" s="13" t="n">
        <v>30</v>
      </c>
      <c r="G1369" s="13" t="n">
        <v>11</v>
      </c>
      <c r="H1369" s="18" t="n">
        <f aca="false">N(G1369)-N(F1369)</f>
        <v>-19</v>
      </c>
      <c r="I1369" s="13" t="n">
        <v>30</v>
      </c>
    </row>
    <row r="1370" customFormat="false" ht="15" hidden="false" customHeight="false" outlineLevel="0" collapsed="false">
      <c r="B1370" s="12" t="s">
        <v>49</v>
      </c>
      <c r="C1370" s="12" t="s">
        <v>354</v>
      </c>
      <c r="D1370" s="17" t="s">
        <v>355</v>
      </c>
      <c r="E1370" s="17"/>
      <c r="F1370" s="13" t="n">
        <v>0</v>
      </c>
      <c r="G1370" s="13" t="n">
        <v>1</v>
      </c>
      <c r="H1370" s="18" t="n">
        <f aca="false">N(G1370)-N(F1370)</f>
        <v>1</v>
      </c>
      <c r="I1370" s="13"/>
    </row>
    <row r="1371" customFormat="false" ht="15" hidden="false" customHeight="false" outlineLevel="0" collapsed="false">
      <c r="B1371" s="12" t="s">
        <v>49</v>
      </c>
      <c r="C1371" s="12" t="s">
        <v>150</v>
      </c>
      <c r="D1371" s="17" t="s">
        <v>151</v>
      </c>
      <c r="E1371" s="17"/>
      <c r="F1371" s="13" t="n">
        <v>0</v>
      </c>
      <c r="G1371" s="13" t="n">
        <v>3</v>
      </c>
      <c r="H1371" s="18" t="n">
        <f aca="false">N(G1371)-N(F1371)</f>
        <v>3</v>
      </c>
      <c r="I1371" s="13"/>
    </row>
    <row r="1372" customFormat="false" ht="15" hidden="false" customHeight="false" outlineLevel="0" collapsed="false">
      <c r="B1372" s="12" t="s">
        <v>49</v>
      </c>
      <c r="C1372" s="12" t="s">
        <v>359</v>
      </c>
      <c r="D1372" s="17" t="s">
        <v>360</v>
      </c>
      <c r="E1372" s="17"/>
      <c r="F1372" s="13" t="n">
        <v>0</v>
      </c>
      <c r="G1372" s="13" t="n">
        <v>1</v>
      </c>
      <c r="H1372" s="18" t="n">
        <f aca="false">N(G1372)-N(F1372)</f>
        <v>1</v>
      </c>
      <c r="I1372" s="13"/>
    </row>
    <row r="1373" customFormat="false" ht="15" hidden="false" customHeight="false" outlineLevel="0" collapsed="false">
      <c r="B1373" s="12" t="s">
        <v>49</v>
      </c>
      <c r="C1373" s="12" t="s">
        <v>152</v>
      </c>
      <c r="D1373" s="17" t="s">
        <v>153</v>
      </c>
      <c r="E1373" s="17"/>
      <c r="F1373" s="13" t="n">
        <v>60</v>
      </c>
      <c r="G1373" s="13" t="n">
        <v>47</v>
      </c>
      <c r="H1373" s="18" t="n">
        <f aca="false">N(G1373)-N(F1373)</f>
        <v>-13</v>
      </c>
      <c r="I1373" s="13"/>
    </row>
    <row r="1374" customFormat="false" ht="15" hidden="false" customHeight="false" outlineLevel="0" collapsed="false">
      <c r="B1374" s="12" t="s">
        <v>49</v>
      </c>
      <c r="C1374" s="12" t="s">
        <v>378</v>
      </c>
      <c r="D1374" s="17" t="s">
        <v>379</v>
      </c>
      <c r="E1374" s="17"/>
      <c r="F1374" s="13" t="n">
        <v>0</v>
      </c>
      <c r="G1374" s="13" t="n">
        <v>14</v>
      </c>
      <c r="H1374" s="18" t="n">
        <f aca="false">N(G1374)-N(F1374)</f>
        <v>14</v>
      </c>
      <c r="I1374" s="13"/>
    </row>
    <row r="1375" customFormat="false" ht="15" hidden="false" customHeight="false" outlineLevel="0" collapsed="false">
      <c r="B1375" s="12" t="s">
        <v>49</v>
      </c>
      <c r="C1375" s="12" t="s">
        <v>543</v>
      </c>
      <c r="D1375" s="17" t="s">
        <v>544</v>
      </c>
      <c r="E1375" s="17"/>
      <c r="F1375" s="13" t="n">
        <v>0</v>
      </c>
      <c r="G1375" s="13" t="n">
        <v>1</v>
      </c>
      <c r="H1375" s="18" t="n">
        <f aca="false">N(G1375)-N(F1375)</f>
        <v>1</v>
      </c>
      <c r="I1375" s="13"/>
    </row>
    <row r="1376" customFormat="false" ht="15" hidden="false" customHeight="false" outlineLevel="0" collapsed="false">
      <c r="B1376" s="12" t="s">
        <v>49</v>
      </c>
      <c r="C1376" s="12" t="s">
        <v>155</v>
      </c>
      <c r="D1376" s="17" t="s">
        <v>156</v>
      </c>
      <c r="E1376" s="17" t="s">
        <v>68</v>
      </c>
      <c r="F1376" s="13" t="n">
        <v>28</v>
      </c>
      <c r="G1376" s="13" t="n">
        <v>18</v>
      </c>
      <c r="H1376" s="18" t="n">
        <f aca="false">N(G1376)-N(F1376)</f>
        <v>-10</v>
      </c>
      <c r="I1376" s="13" t="n">
        <v>28</v>
      </c>
    </row>
    <row r="1377" customFormat="false" ht="15" hidden="false" customHeight="false" outlineLevel="0" collapsed="false">
      <c r="B1377" s="12" t="s">
        <v>49</v>
      </c>
      <c r="C1377" s="12" t="s">
        <v>255</v>
      </c>
      <c r="D1377" s="17" t="s">
        <v>256</v>
      </c>
      <c r="E1377" s="17" t="s">
        <v>94</v>
      </c>
      <c r="F1377" s="13" t="n">
        <v>21750</v>
      </c>
      <c r="G1377" s="13" t="n">
        <v>12048</v>
      </c>
      <c r="H1377" s="18" t="n">
        <f aca="false">N(G1377)-N(F1377)</f>
        <v>-9702</v>
      </c>
      <c r="I1377" s="13" t="n">
        <v>21835.0258</v>
      </c>
    </row>
    <row r="1378" customFormat="false" ht="15" hidden="false" customHeight="false" outlineLevel="0" collapsed="false">
      <c r="B1378" s="12" t="s">
        <v>49</v>
      </c>
      <c r="C1378" s="12" t="s">
        <v>157</v>
      </c>
      <c r="D1378" s="17" t="s">
        <v>158</v>
      </c>
      <c r="E1378" s="17" t="s">
        <v>68</v>
      </c>
      <c r="F1378" s="13" t="n">
        <v>135</v>
      </c>
      <c r="G1378" s="13" t="n">
        <v>47</v>
      </c>
      <c r="H1378" s="18" t="n">
        <f aca="false">N(G1378)-N(F1378)</f>
        <v>-88</v>
      </c>
      <c r="I1378" s="13" t="n">
        <v>135</v>
      </c>
    </row>
    <row r="1379" customFormat="false" ht="15" hidden="false" customHeight="false" outlineLevel="0" collapsed="false">
      <c r="B1379" s="12" t="s">
        <v>49</v>
      </c>
      <c r="C1379" s="12" t="s">
        <v>221</v>
      </c>
      <c r="D1379" s="17" t="s">
        <v>222</v>
      </c>
      <c r="E1379" s="17" t="s">
        <v>68</v>
      </c>
      <c r="F1379" s="13" t="n">
        <v>1</v>
      </c>
      <c r="G1379" s="13" t="n">
        <v>1</v>
      </c>
      <c r="H1379" s="18" t="n">
        <f aca="false">N(G1379)-N(F1379)</f>
        <v>0</v>
      </c>
      <c r="I1379" s="13" t="n">
        <v>1</v>
      </c>
    </row>
    <row r="1380" customFormat="false" ht="15" hidden="false" customHeight="false" outlineLevel="0" collapsed="false">
      <c r="B1380" s="12" t="s">
        <v>49</v>
      </c>
      <c r="C1380" s="12" t="s">
        <v>159</v>
      </c>
      <c r="D1380" s="17" t="s">
        <v>160</v>
      </c>
      <c r="E1380" s="17" t="s">
        <v>68</v>
      </c>
      <c r="F1380" s="13" t="n">
        <v>15</v>
      </c>
      <c r="G1380" s="13" t="n">
        <v>16</v>
      </c>
      <c r="H1380" s="18" t="n">
        <f aca="false">N(G1380)-N(F1380)</f>
        <v>1</v>
      </c>
      <c r="I1380" s="13" t="n">
        <v>15</v>
      </c>
    </row>
    <row r="1381" customFormat="false" ht="15" hidden="false" customHeight="false" outlineLevel="0" collapsed="false">
      <c r="B1381" s="12" t="s">
        <v>49</v>
      </c>
      <c r="C1381" s="12" t="s">
        <v>312</v>
      </c>
      <c r="D1381" s="17" t="s">
        <v>160</v>
      </c>
      <c r="E1381" s="17" t="s">
        <v>68</v>
      </c>
      <c r="F1381" s="13" t="n">
        <v>2</v>
      </c>
      <c r="G1381" s="13" t="n">
        <v>1</v>
      </c>
      <c r="H1381" s="18" t="n">
        <f aca="false">N(G1381)-N(F1381)</f>
        <v>-1</v>
      </c>
      <c r="I1381" s="13" t="n">
        <v>2</v>
      </c>
    </row>
    <row r="1382" customFormat="false" ht="15" hidden="false" customHeight="false" outlineLevel="0" collapsed="false">
      <c r="B1382" s="12" t="s">
        <v>49</v>
      </c>
      <c r="C1382" s="12" t="s">
        <v>314</v>
      </c>
      <c r="D1382" s="17" t="s">
        <v>160</v>
      </c>
      <c r="E1382" s="17" t="s">
        <v>68</v>
      </c>
      <c r="F1382" s="13" t="n">
        <v>4</v>
      </c>
      <c r="G1382" s="13" t="n">
        <v>4</v>
      </c>
      <c r="H1382" s="18" t="n">
        <f aca="false">N(G1382)-N(F1382)</f>
        <v>0</v>
      </c>
      <c r="I1382" s="13" t="n">
        <v>4</v>
      </c>
    </row>
    <row r="1383" customFormat="false" ht="15" hidden="false" customHeight="false" outlineLevel="0" collapsed="false">
      <c r="B1383" s="12" t="s">
        <v>49</v>
      </c>
      <c r="C1383" s="12" t="s">
        <v>125</v>
      </c>
      <c r="D1383" s="17" t="s">
        <v>126</v>
      </c>
      <c r="E1383" s="17" t="s">
        <v>68</v>
      </c>
      <c r="F1383" s="13" t="n">
        <v>120</v>
      </c>
      <c r="G1383" s="13" t="n">
        <v>84</v>
      </c>
      <c r="H1383" s="18" t="n">
        <f aca="false">N(G1383)-N(F1383)</f>
        <v>-36</v>
      </c>
      <c r="I1383" s="13" t="n">
        <v>120</v>
      </c>
    </row>
    <row r="1384" customFormat="false" ht="15" hidden="false" customHeight="false" outlineLevel="0" collapsed="false">
      <c r="B1384" s="12" t="s">
        <v>49</v>
      </c>
      <c r="C1384" s="12" t="s">
        <v>127</v>
      </c>
      <c r="D1384" s="17" t="s">
        <v>128</v>
      </c>
      <c r="E1384" s="17"/>
      <c r="F1384" s="13" t="n">
        <v>0</v>
      </c>
      <c r="G1384" s="13" t="n">
        <v>6</v>
      </c>
      <c r="H1384" s="18" t="n">
        <f aca="false">N(G1384)-N(F1384)</f>
        <v>6</v>
      </c>
      <c r="I1384" s="13"/>
    </row>
    <row r="1385" customFormat="false" ht="15" hidden="false" customHeight="false" outlineLevel="0" collapsed="false">
      <c r="B1385" s="12" t="s">
        <v>49</v>
      </c>
      <c r="C1385" s="12" t="s">
        <v>224</v>
      </c>
      <c r="D1385" s="17" t="s">
        <v>225</v>
      </c>
      <c r="E1385" s="17"/>
      <c r="F1385" s="13" t="n">
        <v>0</v>
      </c>
      <c r="G1385" s="13" t="n">
        <v>19</v>
      </c>
      <c r="H1385" s="18" t="n">
        <f aca="false">N(G1385)-N(F1385)</f>
        <v>19</v>
      </c>
      <c r="I1385" s="13"/>
    </row>
    <row r="1386" customFormat="false" ht="15" hidden="false" customHeight="false" outlineLevel="0" collapsed="false">
      <c r="B1386" s="12" t="s">
        <v>49</v>
      </c>
      <c r="C1386" s="12" t="s">
        <v>364</v>
      </c>
      <c r="D1386" s="17" t="s">
        <v>365</v>
      </c>
      <c r="E1386" s="17" t="s">
        <v>68</v>
      </c>
      <c r="F1386" s="13" t="n">
        <v>58</v>
      </c>
      <c r="G1386" s="13" t="n">
        <v>72</v>
      </c>
      <c r="H1386" s="18" t="n">
        <f aca="false">N(G1386)-N(F1386)</f>
        <v>14</v>
      </c>
      <c r="I1386" s="13" t="n">
        <v>58</v>
      </c>
    </row>
    <row r="1387" customFormat="false" ht="15" hidden="false" customHeight="false" outlineLevel="0" collapsed="false">
      <c r="B1387" s="12" t="s">
        <v>49</v>
      </c>
      <c r="C1387" s="12" t="s">
        <v>161</v>
      </c>
      <c r="D1387" s="17" t="s">
        <v>162</v>
      </c>
      <c r="E1387" s="17" t="s">
        <v>94</v>
      </c>
      <c r="F1387" s="13" t="n">
        <v>0</v>
      </c>
      <c r="G1387" s="13" t="n">
        <v>1875</v>
      </c>
      <c r="H1387" s="18" t="n">
        <f aca="false">N(G1387)-N(F1387)</f>
        <v>1875</v>
      </c>
      <c r="I1387" s="13" t="n">
        <v>638.2979</v>
      </c>
    </row>
    <row r="1388" customFormat="false" ht="15" hidden="false" customHeight="false" outlineLevel="0" collapsed="false">
      <c r="B1388" s="12" t="s">
        <v>49</v>
      </c>
      <c r="C1388" s="12" t="s">
        <v>265</v>
      </c>
      <c r="D1388" s="17" t="s">
        <v>266</v>
      </c>
      <c r="E1388" s="17" t="s">
        <v>68</v>
      </c>
      <c r="F1388" s="13" t="n">
        <v>2</v>
      </c>
      <c r="G1388" s="13" t="n">
        <v>3</v>
      </c>
      <c r="H1388" s="18" t="n">
        <f aca="false">N(G1388)-N(F1388)</f>
        <v>1</v>
      </c>
      <c r="I1388" s="13" t="n">
        <v>2</v>
      </c>
    </row>
    <row r="1389" customFormat="false" ht="15" hidden="false" customHeight="false" outlineLevel="0" collapsed="false">
      <c r="B1389" s="12" t="s">
        <v>49</v>
      </c>
      <c r="C1389" s="12" t="s">
        <v>280</v>
      </c>
      <c r="D1389" s="17" t="s">
        <v>227</v>
      </c>
      <c r="E1389" s="17" t="s">
        <v>68</v>
      </c>
      <c r="F1389" s="13" t="n">
        <v>3</v>
      </c>
      <c r="G1389" s="13" t="n">
        <v>3</v>
      </c>
      <c r="H1389" s="18" t="n">
        <f aca="false">N(G1389)-N(F1389)</f>
        <v>0</v>
      </c>
      <c r="I1389" s="13" t="n">
        <v>3</v>
      </c>
    </row>
    <row r="1390" customFormat="false" ht="15" hidden="false" customHeight="false" outlineLevel="0" collapsed="false">
      <c r="B1390" s="12" t="s">
        <v>50</v>
      </c>
      <c r="C1390" s="12" t="s">
        <v>66</v>
      </c>
      <c r="D1390" s="17" t="s">
        <v>67</v>
      </c>
      <c r="E1390" s="17"/>
      <c r="F1390" s="13" t="n">
        <v>0</v>
      </c>
      <c r="G1390" s="13" t="n">
        <v>12</v>
      </c>
      <c r="H1390" s="18" t="n">
        <f aca="false">N(G1390)-N(F1390)</f>
        <v>12</v>
      </c>
      <c r="I1390" s="13"/>
    </row>
    <row r="1391" customFormat="false" ht="15" hidden="false" customHeight="false" outlineLevel="0" collapsed="false">
      <c r="B1391" s="12" t="s">
        <v>50</v>
      </c>
      <c r="C1391" s="12" t="s">
        <v>187</v>
      </c>
      <c r="D1391" s="17" t="s">
        <v>188</v>
      </c>
      <c r="E1391" s="17" t="s">
        <v>68</v>
      </c>
      <c r="F1391" s="13" t="n">
        <v>4</v>
      </c>
      <c r="G1391" s="13" t="n">
        <v>0</v>
      </c>
      <c r="H1391" s="18" t="n">
        <f aca="false">N(G1391)-N(F1391)</f>
        <v>-4</v>
      </c>
      <c r="I1391" s="13" t="n">
        <v>4</v>
      </c>
    </row>
    <row r="1392" customFormat="false" ht="15" hidden="false" customHeight="false" outlineLevel="0" collapsed="false">
      <c r="B1392" s="12" t="s">
        <v>50</v>
      </c>
      <c r="C1392" s="12" t="s">
        <v>268</v>
      </c>
      <c r="D1392" s="17" t="s">
        <v>269</v>
      </c>
      <c r="E1392" s="17"/>
      <c r="F1392" s="13" t="n">
        <v>4</v>
      </c>
      <c r="G1392" s="13" t="n">
        <v>0</v>
      </c>
      <c r="H1392" s="18" t="n">
        <f aca="false">N(G1392)-N(F1392)</f>
        <v>-4</v>
      </c>
      <c r="I1392" s="13"/>
    </row>
    <row r="1393" customFormat="false" ht="15" hidden="false" customHeight="false" outlineLevel="0" collapsed="false">
      <c r="B1393" s="12" t="s">
        <v>50</v>
      </c>
      <c r="C1393" s="12" t="s">
        <v>487</v>
      </c>
      <c r="D1393" s="17" t="s">
        <v>488</v>
      </c>
      <c r="E1393" s="17"/>
      <c r="F1393" s="13" t="n">
        <v>0</v>
      </c>
      <c r="G1393" s="13" t="n">
        <v>4</v>
      </c>
      <c r="H1393" s="18" t="n">
        <f aca="false">N(G1393)-N(F1393)</f>
        <v>4</v>
      </c>
      <c r="I1393" s="13"/>
    </row>
    <row r="1394" customFormat="false" ht="15" hidden="false" customHeight="false" outlineLevel="0" collapsed="false">
      <c r="B1394" s="12" t="s">
        <v>50</v>
      </c>
      <c r="C1394" s="12" t="s">
        <v>274</v>
      </c>
      <c r="D1394" s="17" t="s">
        <v>275</v>
      </c>
      <c r="E1394" s="17" t="s">
        <v>68</v>
      </c>
      <c r="F1394" s="13" t="n">
        <v>0</v>
      </c>
      <c r="G1394" s="13" t="n">
        <v>0</v>
      </c>
      <c r="H1394" s="18" t="n">
        <f aca="false">N(G1394)-N(F1394)</f>
        <v>0</v>
      </c>
      <c r="I1394" s="13" t="n">
        <v>30</v>
      </c>
    </row>
    <row r="1395" customFormat="false" ht="15" hidden="false" customHeight="false" outlineLevel="0" collapsed="false">
      <c r="B1395" s="12" t="s">
        <v>50</v>
      </c>
      <c r="C1395" s="12" t="s">
        <v>234</v>
      </c>
      <c r="D1395" s="17" t="s">
        <v>235</v>
      </c>
      <c r="E1395" s="17" t="s">
        <v>68</v>
      </c>
      <c r="F1395" s="13" t="n">
        <v>16</v>
      </c>
      <c r="G1395" s="13" t="n">
        <v>16</v>
      </c>
      <c r="H1395" s="18" t="n">
        <f aca="false">N(G1395)-N(F1395)</f>
        <v>0</v>
      </c>
      <c r="I1395" s="13" t="n">
        <v>16</v>
      </c>
    </row>
    <row r="1396" customFormat="false" ht="15" hidden="false" customHeight="false" outlineLevel="0" collapsed="false">
      <c r="B1396" s="12" t="s">
        <v>50</v>
      </c>
      <c r="C1396" s="12" t="s">
        <v>70</v>
      </c>
      <c r="D1396" s="17" t="s">
        <v>71</v>
      </c>
      <c r="E1396" s="17" t="s">
        <v>68</v>
      </c>
      <c r="F1396" s="13" t="n">
        <v>104</v>
      </c>
      <c r="G1396" s="13" t="n">
        <v>126</v>
      </c>
      <c r="H1396" s="18" t="n">
        <f aca="false">N(G1396)-N(F1396)</f>
        <v>22</v>
      </c>
      <c r="I1396" s="13" t="n">
        <v>104</v>
      </c>
    </row>
    <row r="1397" customFormat="false" ht="15" hidden="false" customHeight="false" outlineLevel="0" collapsed="false">
      <c r="B1397" s="12" t="s">
        <v>50</v>
      </c>
      <c r="C1397" s="12" t="s">
        <v>72</v>
      </c>
      <c r="D1397" s="17" t="s">
        <v>73</v>
      </c>
      <c r="E1397" s="17"/>
      <c r="F1397" s="13" t="n">
        <v>64</v>
      </c>
      <c r="G1397" s="13" t="n">
        <v>64</v>
      </c>
      <c r="H1397" s="18" t="n">
        <f aca="false">N(G1397)-N(F1397)</f>
        <v>0</v>
      </c>
      <c r="I1397" s="13"/>
    </row>
    <row r="1398" customFormat="false" ht="15" hidden="false" customHeight="false" outlineLevel="0" collapsed="false">
      <c r="B1398" s="12" t="s">
        <v>50</v>
      </c>
      <c r="C1398" s="12" t="s">
        <v>74</v>
      </c>
      <c r="D1398" s="17" t="s">
        <v>75</v>
      </c>
      <c r="E1398" s="17" t="s">
        <v>68</v>
      </c>
      <c r="F1398" s="13" t="n">
        <v>32</v>
      </c>
      <c r="G1398" s="13" t="n">
        <v>32</v>
      </c>
      <c r="H1398" s="18" t="n">
        <f aca="false">N(G1398)-N(F1398)</f>
        <v>0</v>
      </c>
      <c r="I1398" s="13" t="n">
        <v>32</v>
      </c>
    </row>
    <row r="1399" customFormat="false" ht="15" hidden="false" customHeight="false" outlineLevel="0" collapsed="false">
      <c r="B1399" s="12" t="s">
        <v>50</v>
      </c>
      <c r="C1399" s="12" t="s">
        <v>164</v>
      </c>
      <c r="D1399" s="17" t="s">
        <v>165</v>
      </c>
      <c r="E1399" s="17"/>
      <c r="F1399" s="13" t="n">
        <v>0</v>
      </c>
      <c r="G1399" s="13" t="n">
        <v>12</v>
      </c>
      <c r="H1399" s="18" t="n">
        <f aca="false">N(G1399)-N(F1399)</f>
        <v>12</v>
      </c>
      <c r="I1399" s="13"/>
    </row>
    <row r="1400" customFormat="false" ht="15" hidden="false" customHeight="false" outlineLevel="0" collapsed="false">
      <c r="B1400" s="12" t="s">
        <v>50</v>
      </c>
      <c r="C1400" s="12" t="s">
        <v>76</v>
      </c>
      <c r="D1400" s="17" t="s">
        <v>77</v>
      </c>
      <c r="E1400" s="17" t="s">
        <v>68</v>
      </c>
      <c r="F1400" s="13" t="n">
        <v>40</v>
      </c>
      <c r="G1400" s="13" t="n">
        <v>14</v>
      </c>
      <c r="H1400" s="18" t="n">
        <f aca="false">N(G1400)-N(F1400)</f>
        <v>-26</v>
      </c>
      <c r="I1400" s="13" t="n">
        <v>40</v>
      </c>
    </row>
    <row r="1401" customFormat="false" ht="15" hidden="false" customHeight="false" outlineLevel="0" collapsed="false">
      <c r="B1401" s="12" t="s">
        <v>50</v>
      </c>
      <c r="C1401" s="12" t="s">
        <v>78</v>
      </c>
      <c r="D1401" s="17" t="s">
        <v>79</v>
      </c>
      <c r="E1401" s="17" t="s">
        <v>68</v>
      </c>
      <c r="F1401" s="13" t="n">
        <v>50</v>
      </c>
      <c r="G1401" s="13" t="n">
        <v>56</v>
      </c>
      <c r="H1401" s="18" t="n">
        <f aca="false">N(G1401)-N(F1401)</f>
        <v>6</v>
      </c>
      <c r="I1401" s="13" t="n">
        <v>50</v>
      </c>
    </row>
    <row r="1402" customFormat="false" ht="15" hidden="false" customHeight="false" outlineLevel="0" collapsed="false">
      <c r="B1402" s="12" t="s">
        <v>50</v>
      </c>
      <c r="C1402" s="12" t="s">
        <v>288</v>
      </c>
      <c r="D1402" s="17" t="s">
        <v>289</v>
      </c>
      <c r="E1402" s="17" t="s">
        <v>68</v>
      </c>
      <c r="F1402" s="13" t="n">
        <v>18</v>
      </c>
      <c r="G1402" s="13" t="n">
        <v>12</v>
      </c>
      <c r="H1402" s="18" t="n">
        <f aca="false">N(G1402)-N(F1402)</f>
        <v>-6</v>
      </c>
      <c r="I1402" s="13" t="n">
        <v>18</v>
      </c>
    </row>
    <row r="1403" customFormat="false" ht="15" hidden="false" customHeight="false" outlineLevel="0" collapsed="false">
      <c r="B1403" s="12" t="s">
        <v>50</v>
      </c>
      <c r="C1403" s="12" t="s">
        <v>80</v>
      </c>
      <c r="D1403" s="17" t="s">
        <v>81</v>
      </c>
      <c r="E1403" s="17" t="s">
        <v>68</v>
      </c>
      <c r="F1403" s="13" t="n">
        <v>75</v>
      </c>
      <c r="G1403" s="13" t="n">
        <v>76</v>
      </c>
      <c r="H1403" s="18" t="n">
        <f aca="false">N(G1403)-N(F1403)</f>
        <v>1</v>
      </c>
      <c r="I1403" s="13" t="n">
        <v>75</v>
      </c>
    </row>
    <row r="1404" customFormat="false" ht="15" hidden="false" customHeight="false" outlineLevel="0" collapsed="false">
      <c r="B1404" s="12" t="s">
        <v>50</v>
      </c>
      <c r="C1404" s="12" t="s">
        <v>82</v>
      </c>
      <c r="D1404" s="17" t="s">
        <v>83</v>
      </c>
      <c r="E1404" s="17" t="s">
        <v>68</v>
      </c>
      <c r="F1404" s="13" t="n">
        <v>9</v>
      </c>
      <c r="G1404" s="13" t="n">
        <v>6</v>
      </c>
      <c r="H1404" s="18" t="n">
        <f aca="false">N(G1404)-N(F1404)</f>
        <v>-3</v>
      </c>
      <c r="I1404" s="13" t="n">
        <v>9</v>
      </c>
    </row>
    <row r="1405" customFormat="false" ht="15" hidden="false" customHeight="false" outlineLevel="0" collapsed="false">
      <c r="B1405" s="12" t="s">
        <v>50</v>
      </c>
      <c r="C1405" s="12" t="s">
        <v>446</v>
      </c>
      <c r="D1405" s="17" t="s">
        <v>447</v>
      </c>
      <c r="E1405" s="17"/>
      <c r="F1405" s="13" t="n">
        <v>2600</v>
      </c>
      <c r="G1405" s="13" t="n">
        <v>0</v>
      </c>
      <c r="H1405" s="18" t="n">
        <f aca="false">N(G1405)-N(F1405)</f>
        <v>-2600</v>
      </c>
      <c r="I1405" s="13"/>
    </row>
    <row r="1406" customFormat="false" ht="15" hidden="false" customHeight="false" outlineLevel="0" collapsed="false">
      <c r="B1406" s="12" t="s">
        <v>50</v>
      </c>
      <c r="C1406" s="12" t="s">
        <v>190</v>
      </c>
      <c r="D1406" s="17" t="s">
        <v>191</v>
      </c>
      <c r="E1406" s="17"/>
      <c r="F1406" s="13" t="n">
        <v>0</v>
      </c>
      <c r="G1406" s="13" t="n">
        <v>16</v>
      </c>
      <c r="H1406" s="18" t="n">
        <f aca="false">N(G1406)-N(F1406)</f>
        <v>16</v>
      </c>
      <c r="I1406" s="13"/>
    </row>
    <row r="1407" customFormat="false" ht="15" hidden="false" customHeight="false" outlineLevel="0" collapsed="false">
      <c r="B1407" s="12" t="s">
        <v>50</v>
      </c>
      <c r="C1407" s="12" t="s">
        <v>237</v>
      </c>
      <c r="D1407" s="17" t="s">
        <v>238</v>
      </c>
      <c r="E1407" s="17" t="s">
        <v>68</v>
      </c>
      <c r="F1407" s="13" t="n">
        <v>24</v>
      </c>
      <c r="G1407" s="13" t="n">
        <v>12</v>
      </c>
      <c r="H1407" s="18" t="n">
        <f aca="false">N(G1407)-N(F1407)</f>
        <v>-12</v>
      </c>
      <c r="I1407" s="13" t="n">
        <v>24</v>
      </c>
    </row>
    <row r="1408" customFormat="false" ht="15" hidden="false" customHeight="false" outlineLevel="0" collapsed="false">
      <c r="B1408" s="12" t="s">
        <v>50</v>
      </c>
      <c r="C1408" s="12" t="s">
        <v>84</v>
      </c>
      <c r="D1408" s="17" t="s">
        <v>85</v>
      </c>
      <c r="E1408" s="17" t="s">
        <v>68</v>
      </c>
      <c r="F1408" s="13" t="n">
        <v>26</v>
      </c>
      <c r="G1408" s="13" t="n">
        <v>14</v>
      </c>
      <c r="H1408" s="18" t="n">
        <f aca="false">N(G1408)-N(F1408)</f>
        <v>-12</v>
      </c>
      <c r="I1408" s="13" t="n">
        <v>26</v>
      </c>
    </row>
    <row r="1409" customFormat="false" ht="15" hidden="false" customHeight="false" outlineLevel="0" collapsed="false">
      <c r="B1409" s="12" t="s">
        <v>50</v>
      </c>
      <c r="C1409" s="12" t="s">
        <v>193</v>
      </c>
      <c r="D1409" s="17" t="s">
        <v>194</v>
      </c>
      <c r="E1409" s="17" t="s">
        <v>68</v>
      </c>
      <c r="F1409" s="13" t="n">
        <v>4</v>
      </c>
      <c r="G1409" s="13" t="n">
        <v>4</v>
      </c>
      <c r="H1409" s="18" t="n">
        <f aca="false">N(G1409)-N(F1409)</f>
        <v>0</v>
      </c>
      <c r="I1409" s="13" t="n">
        <v>4</v>
      </c>
    </row>
    <row r="1410" customFormat="false" ht="15" hidden="false" customHeight="false" outlineLevel="0" collapsed="false">
      <c r="B1410" s="12" t="s">
        <v>50</v>
      </c>
      <c r="C1410" s="12" t="s">
        <v>86</v>
      </c>
      <c r="D1410" s="17" t="s">
        <v>87</v>
      </c>
      <c r="E1410" s="17" t="s">
        <v>68</v>
      </c>
      <c r="F1410" s="13" t="n">
        <v>6</v>
      </c>
      <c r="G1410" s="13" t="n">
        <v>6</v>
      </c>
      <c r="H1410" s="18" t="n">
        <f aca="false">N(G1410)-N(F1410)</f>
        <v>0</v>
      </c>
      <c r="I1410" s="13" t="n">
        <v>6</v>
      </c>
    </row>
    <row r="1411" customFormat="false" ht="15" hidden="false" customHeight="false" outlineLevel="0" collapsed="false">
      <c r="B1411" s="12" t="s">
        <v>50</v>
      </c>
      <c r="C1411" s="12" t="s">
        <v>392</v>
      </c>
      <c r="D1411" s="17" t="s">
        <v>393</v>
      </c>
      <c r="E1411" s="17"/>
      <c r="F1411" s="13" t="n">
        <v>5</v>
      </c>
      <c r="G1411" s="13" t="n">
        <v>0</v>
      </c>
      <c r="H1411" s="18" t="n">
        <f aca="false">N(G1411)-N(F1411)</f>
        <v>-5</v>
      </c>
      <c r="I1411" s="13"/>
    </row>
    <row r="1412" customFormat="false" ht="15" hidden="false" customHeight="false" outlineLevel="0" collapsed="false">
      <c r="B1412" s="12" t="s">
        <v>50</v>
      </c>
      <c r="C1412" s="12" t="s">
        <v>196</v>
      </c>
      <c r="D1412" s="17" t="s">
        <v>197</v>
      </c>
      <c r="E1412" s="17"/>
      <c r="F1412" s="13" t="n">
        <v>0</v>
      </c>
      <c r="G1412" s="13" t="n">
        <v>4</v>
      </c>
      <c r="H1412" s="18" t="n">
        <f aca="false">N(G1412)-N(F1412)</f>
        <v>4</v>
      </c>
      <c r="I1412" s="13"/>
    </row>
    <row r="1413" customFormat="false" ht="15" hidden="false" customHeight="false" outlineLevel="0" collapsed="false">
      <c r="B1413" s="12" t="s">
        <v>50</v>
      </c>
      <c r="C1413" s="12" t="s">
        <v>110</v>
      </c>
      <c r="D1413" s="17" t="s">
        <v>111</v>
      </c>
      <c r="E1413" s="17" t="s">
        <v>68</v>
      </c>
      <c r="F1413" s="13" t="n">
        <v>28</v>
      </c>
      <c r="G1413" s="13" t="n">
        <v>36</v>
      </c>
      <c r="H1413" s="18" t="n">
        <f aca="false">N(G1413)-N(F1413)</f>
        <v>8</v>
      </c>
      <c r="I1413" s="13" t="n">
        <v>28</v>
      </c>
    </row>
    <row r="1414" customFormat="false" ht="15" hidden="false" customHeight="false" outlineLevel="0" collapsed="false">
      <c r="B1414" s="12" t="s">
        <v>50</v>
      </c>
      <c r="C1414" s="12" t="s">
        <v>319</v>
      </c>
      <c r="D1414" s="17" t="s">
        <v>320</v>
      </c>
      <c r="E1414" s="17" t="s">
        <v>68</v>
      </c>
      <c r="F1414" s="13" t="n">
        <v>0</v>
      </c>
      <c r="G1414" s="13" t="n">
        <v>2</v>
      </c>
      <c r="H1414" s="18" t="n">
        <f aca="false">N(G1414)-N(F1414)</f>
        <v>2</v>
      </c>
      <c r="I1414" s="13" t="n">
        <v>2</v>
      </c>
    </row>
    <row r="1415" customFormat="false" ht="15" hidden="false" customHeight="false" outlineLevel="0" collapsed="false">
      <c r="B1415" s="12" t="s">
        <v>50</v>
      </c>
      <c r="C1415" s="12" t="s">
        <v>395</v>
      </c>
      <c r="D1415" s="17" t="s">
        <v>396</v>
      </c>
      <c r="E1415" s="17" t="s">
        <v>68</v>
      </c>
      <c r="F1415" s="13" t="n">
        <v>0</v>
      </c>
      <c r="G1415" s="13" t="n">
        <v>1</v>
      </c>
      <c r="H1415" s="18" t="n">
        <f aca="false">N(G1415)-N(F1415)</f>
        <v>1</v>
      </c>
      <c r="I1415" s="13" t="n">
        <v>1</v>
      </c>
    </row>
    <row r="1416" customFormat="false" ht="15" hidden="false" customHeight="false" outlineLevel="0" collapsed="false">
      <c r="B1416" s="12" t="s">
        <v>50</v>
      </c>
      <c r="C1416" s="12" t="s">
        <v>170</v>
      </c>
      <c r="D1416" s="17" t="s">
        <v>171</v>
      </c>
      <c r="E1416" s="17"/>
      <c r="F1416" s="13" t="n">
        <v>0</v>
      </c>
      <c r="G1416" s="13" t="n">
        <v>6</v>
      </c>
      <c r="H1416" s="18" t="n">
        <f aca="false">N(G1416)-N(F1416)</f>
        <v>6</v>
      </c>
      <c r="I1416" s="13"/>
    </row>
    <row r="1417" customFormat="false" ht="15" hidden="false" customHeight="false" outlineLevel="0" collapsed="false">
      <c r="B1417" s="12" t="s">
        <v>50</v>
      </c>
      <c r="C1417" s="12" t="s">
        <v>88</v>
      </c>
      <c r="D1417" s="17" t="s">
        <v>89</v>
      </c>
      <c r="E1417" s="17" t="s">
        <v>68</v>
      </c>
      <c r="F1417" s="13" t="n">
        <v>45</v>
      </c>
      <c r="G1417" s="13" t="n">
        <v>42</v>
      </c>
      <c r="H1417" s="18" t="n">
        <f aca="false">N(G1417)-N(F1417)</f>
        <v>-3</v>
      </c>
      <c r="I1417" s="13" t="n">
        <v>45</v>
      </c>
    </row>
    <row r="1418" customFormat="false" ht="15" hidden="false" customHeight="false" outlineLevel="0" collapsed="false">
      <c r="B1418" s="12" t="s">
        <v>50</v>
      </c>
      <c r="C1418" s="12" t="s">
        <v>90</v>
      </c>
      <c r="D1418" s="17" t="s">
        <v>91</v>
      </c>
      <c r="E1418" s="17" t="s">
        <v>68</v>
      </c>
      <c r="F1418" s="13" t="n">
        <v>15</v>
      </c>
      <c r="G1418" s="13" t="n">
        <v>2</v>
      </c>
      <c r="H1418" s="18" t="n">
        <f aca="false">N(G1418)-N(F1418)</f>
        <v>-13</v>
      </c>
      <c r="I1418" s="13" t="n">
        <v>15</v>
      </c>
    </row>
    <row r="1419" customFormat="false" ht="15" hidden="false" customHeight="false" outlineLevel="0" collapsed="false">
      <c r="B1419" s="12" t="s">
        <v>50</v>
      </c>
      <c r="C1419" s="12" t="s">
        <v>92</v>
      </c>
      <c r="D1419" s="17" t="s">
        <v>93</v>
      </c>
      <c r="E1419" s="17" t="s">
        <v>94</v>
      </c>
      <c r="F1419" s="13" t="n">
        <v>0</v>
      </c>
      <c r="G1419" s="13" t="n">
        <v>1040</v>
      </c>
      <c r="H1419" s="18" t="n">
        <f aca="false">N(G1419)-N(F1419)</f>
        <v>1040</v>
      </c>
      <c r="I1419" s="13" t="n">
        <v>355.2991</v>
      </c>
    </row>
    <row r="1420" customFormat="false" ht="15" hidden="false" customHeight="false" outlineLevel="0" collapsed="false">
      <c r="B1420" s="12" t="s">
        <v>50</v>
      </c>
      <c r="C1420" s="12" t="s">
        <v>325</v>
      </c>
      <c r="D1420" s="17" t="s">
        <v>326</v>
      </c>
      <c r="E1420" s="17" t="s">
        <v>68</v>
      </c>
      <c r="F1420" s="13" t="n">
        <v>24</v>
      </c>
      <c r="G1420" s="13" t="n">
        <v>28</v>
      </c>
      <c r="H1420" s="18" t="n">
        <f aca="false">N(G1420)-N(F1420)</f>
        <v>4</v>
      </c>
      <c r="I1420" s="13" t="n">
        <v>24</v>
      </c>
    </row>
    <row r="1421" customFormat="false" ht="15" hidden="false" customHeight="false" outlineLevel="0" collapsed="false">
      <c r="B1421" s="12" t="s">
        <v>50</v>
      </c>
      <c r="C1421" s="12" t="s">
        <v>95</v>
      </c>
      <c r="D1421" s="17" t="s">
        <v>96</v>
      </c>
      <c r="E1421" s="17"/>
      <c r="F1421" s="13" t="n">
        <v>12</v>
      </c>
      <c r="G1421" s="13" t="n">
        <v>11</v>
      </c>
      <c r="H1421" s="18" t="n">
        <f aca="false">N(G1421)-N(F1421)</f>
        <v>-1</v>
      </c>
      <c r="I1421" s="13"/>
    </row>
    <row r="1422" customFormat="false" ht="15" hidden="false" customHeight="false" outlineLevel="0" collapsed="false">
      <c r="B1422" s="12" t="s">
        <v>50</v>
      </c>
      <c r="C1422" s="12" t="s">
        <v>97</v>
      </c>
      <c r="D1422" s="17" t="s">
        <v>98</v>
      </c>
      <c r="E1422" s="17" t="s">
        <v>68</v>
      </c>
      <c r="F1422" s="13" t="n">
        <v>14</v>
      </c>
      <c r="G1422" s="13" t="n">
        <v>14</v>
      </c>
      <c r="H1422" s="18" t="n">
        <f aca="false">N(G1422)-N(F1422)</f>
        <v>0</v>
      </c>
      <c r="I1422" s="13" t="n">
        <v>14</v>
      </c>
    </row>
    <row r="1423" customFormat="false" ht="15" hidden="false" customHeight="false" outlineLevel="0" collapsed="false">
      <c r="B1423" s="12" t="s">
        <v>50</v>
      </c>
      <c r="C1423" s="12" t="s">
        <v>398</v>
      </c>
      <c r="D1423" s="17" t="s">
        <v>399</v>
      </c>
      <c r="E1423" s="17"/>
      <c r="F1423" s="13" t="n">
        <v>25</v>
      </c>
      <c r="G1423" s="13" t="n">
        <v>24</v>
      </c>
      <c r="H1423" s="18" t="n">
        <f aca="false">N(G1423)-N(F1423)</f>
        <v>-1</v>
      </c>
      <c r="I1423" s="13"/>
    </row>
    <row r="1424" customFormat="false" ht="15" hidden="false" customHeight="false" outlineLevel="0" collapsed="false">
      <c r="B1424" s="12" t="s">
        <v>50</v>
      </c>
      <c r="C1424" s="12" t="s">
        <v>589</v>
      </c>
      <c r="D1424" s="17" t="s">
        <v>590</v>
      </c>
      <c r="E1424" s="17"/>
      <c r="F1424" s="13" t="n">
        <v>0</v>
      </c>
      <c r="G1424" s="13" t="n">
        <v>2456</v>
      </c>
      <c r="H1424" s="18" t="n">
        <f aca="false">N(G1424)-N(F1424)</f>
        <v>2456</v>
      </c>
      <c r="I1424" s="13"/>
    </row>
    <row r="1425" customFormat="false" ht="15" hidden="false" customHeight="false" outlineLevel="0" collapsed="false">
      <c r="B1425" s="12" t="s">
        <v>50</v>
      </c>
      <c r="C1425" s="12" t="s">
        <v>138</v>
      </c>
      <c r="D1425" s="17" t="s">
        <v>139</v>
      </c>
      <c r="E1425" s="17" t="s">
        <v>68</v>
      </c>
      <c r="F1425" s="13" t="n">
        <v>4</v>
      </c>
      <c r="G1425" s="13" t="n">
        <v>4</v>
      </c>
      <c r="H1425" s="18" t="n">
        <f aca="false">N(G1425)-N(F1425)</f>
        <v>0</v>
      </c>
      <c r="I1425" s="13" t="n">
        <v>4</v>
      </c>
    </row>
    <row r="1426" customFormat="false" ht="15" hidden="false" customHeight="false" outlineLevel="0" collapsed="false">
      <c r="B1426" s="12" t="s">
        <v>50</v>
      </c>
      <c r="C1426" s="12" t="s">
        <v>302</v>
      </c>
      <c r="D1426" s="17" t="s">
        <v>133</v>
      </c>
      <c r="E1426" s="17"/>
      <c r="F1426" s="13" t="n">
        <v>24</v>
      </c>
      <c r="G1426" s="13" t="n">
        <v>21</v>
      </c>
      <c r="H1426" s="18" t="n">
        <f aca="false">N(G1426)-N(F1426)</f>
        <v>-3</v>
      </c>
      <c r="I1426" s="13"/>
    </row>
    <row r="1427" customFormat="false" ht="15" hidden="false" customHeight="false" outlineLevel="0" collapsed="false">
      <c r="B1427" s="12" t="s">
        <v>50</v>
      </c>
      <c r="C1427" s="12" t="s">
        <v>242</v>
      </c>
      <c r="D1427" s="17" t="s">
        <v>243</v>
      </c>
      <c r="E1427" s="17"/>
      <c r="F1427" s="13" t="n">
        <v>0</v>
      </c>
      <c r="G1427" s="13" t="n">
        <v>12</v>
      </c>
      <c r="H1427" s="18" t="n">
        <f aca="false">N(G1427)-N(F1427)</f>
        <v>12</v>
      </c>
      <c r="I1427" s="13"/>
    </row>
    <row r="1428" customFormat="false" ht="15" hidden="false" customHeight="false" outlineLevel="0" collapsed="false">
      <c r="B1428" s="12" t="s">
        <v>50</v>
      </c>
      <c r="C1428" s="12" t="s">
        <v>113</v>
      </c>
      <c r="D1428" s="17" t="s">
        <v>114</v>
      </c>
      <c r="E1428" s="17" t="s">
        <v>68</v>
      </c>
      <c r="F1428" s="13" t="n">
        <v>36</v>
      </c>
      <c r="G1428" s="13" t="n">
        <v>36</v>
      </c>
      <c r="H1428" s="18" t="n">
        <f aca="false">N(G1428)-N(F1428)</f>
        <v>0</v>
      </c>
      <c r="I1428" s="13" t="n">
        <v>36</v>
      </c>
    </row>
    <row r="1429" customFormat="false" ht="15" hidden="false" customHeight="false" outlineLevel="0" collapsed="false">
      <c r="B1429" s="12" t="s">
        <v>50</v>
      </c>
      <c r="C1429" s="12" t="s">
        <v>115</v>
      </c>
      <c r="D1429" s="17" t="s">
        <v>116</v>
      </c>
      <c r="E1429" s="17" t="s">
        <v>68</v>
      </c>
      <c r="F1429" s="13" t="n">
        <v>3</v>
      </c>
      <c r="G1429" s="13" t="n">
        <v>0</v>
      </c>
      <c r="H1429" s="18" t="n">
        <f aca="false">N(G1429)-N(F1429)</f>
        <v>-3</v>
      </c>
      <c r="I1429" s="13" t="n">
        <v>3</v>
      </c>
    </row>
    <row r="1430" customFormat="false" ht="15" hidden="false" customHeight="false" outlineLevel="0" collapsed="false">
      <c r="B1430" s="12" t="s">
        <v>50</v>
      </c>
      <c r="C1430" s="12" t="s">
        <v>593</v>
      </c>
      <c r="D1430" s="17" t="s">
        <v>594</v>
      </c>
      <c r="E1430" s="17" t="s">
        <v>68</v>
      </c>
      <c r="F1430" s="13" t="n">
        <v>4</v>
      </c>
      <c r="G1430" s="13" t="n">
        <v>4</v>
      </c>
      <c r="H1430" s="18" t="n">
        <f aca="false">N(G1430)-N(F1430)</f>
        <v>0</v>
      </c>
      <c r="I1430" s="13" t="n">
        <v>4</v>
      </c>
    </row>
    <row r="1431" customFormat="false" ht="15" hidden="false" customHeight="false" outlineLevel="0" collapsed="false">
      <c r="B1431" s="12" t="s">
        <v>50</v>
      </c>
      <c r="C1431" s="12" t="s">
        <v>99</v>
      </c>
      <c r="D1431" s="17" t="s">
        <v>100</v>
      </c>
      <c r="E1431" s="17" t="s">
        <v>68</v>
      </c>
      <c r="F1431" s="13" t="n">
        <v>24</v>
      </c>
      <c r="G1431" s="13" t="n">
        <v>24</v>
      </c>
      <c r="H1431" s="18" t="n">
        <f aca="false">N(G1431)-N(F1431)</f>
        <v>0</v>
      </c>
      <c r="I1431" s="13" t="n">
        <v>24</v>
      </c>
    </row>
    <row r="1432" customFormat="false" ht="15" hidden="false" customHeight="false" outlineLevel="0" collapsed="false">
      <c r="B1432" s="12" t="s">
        <v>50</v>
      </c>
      <c r="C1432" s="12" t="s">
        <v>173</v>
      </c>
      <c r="D1432" s="17" t="s">
        <v>174</v>
      </c>
      <c r="E1432" s="17" t="s">
        <v>68</v>
      </c>
      <c r="F1432" s="13" t="n">
        <v>16</v>
      </c>
      <c r="G1432" s="13" t="n">
        <v>16</v>
      </c>
      <c r="H1432" s="18" t="n">
        <f aca="false">N(G1432)-N(F1432)</f>
        <v>0</v>
      </c>
      <c r="I1432" s="13" t="n">
        <v>24</v>
      </c>
    </row>
    <row r="1433" customFormat="false" ht="15" hidden="false" customHeight="false" outlineLevel="0" collapsed="false">
      <c r="B1433" s="12" t="s">
        <v>50</v>
      </c>
      <c r="C1433" s="12" t="s">
        <v>336</v>
      </c>
      <c r="D1433" s="17" t="s">
        <v>337</v>
      </c>
      <c r="E1433" s="17"/>
      <c r="F1433" s="13" t="n">
        <v>0</v>
      </c>
      <c r="G1433" s="13" t="n">
        <v>24</v>
      </c>
      <c r="H1433" s="18" t="n">
        <f aca="false">N(G1433)-N(F1433)</f>
        <v>24</v>
      </c>
      <c r="I1433" s="13"/>
    </row>
    <row r="1434" customFormat="false" ht="15" hidden="false" customHeight="false" outlineLevel="0" collapsed="false">
      <c r="B1434" s="12" t="s">
        <v>50</v>
      </c>
      <c r="C1434" s="12" t="s">
        <v>338</v>
      </c>
      <c r="D1434" s="17" t="s">
        <v>339</v>
      </c>
      <c r="E1434" s="17" t="s">
        <v>68</v>
      </c>
      <c r="F1434" s="13" t="n">
        <v>12</v>
      </c>
      <c r="G1434" s="13" t="n">
        <v>12</v>
      </c>
      <c r="H1434" s="18" t="n">
        <f aca="false">N(G1434)-N(F1434)</f>
        <v>0</v>
      </c>
      <c r="I1434" s="13" t="n">
        <v>32</v>
      </c>
    </row>
    <row r="1435" customFormat="false" ht="15" hidden="false" customHeight="false" outlineLevel="0" collapsed="false">
      <c r="B1435" s="12" t="s">
        <v>50</v>
      </c>
      <c r="C1435" s="12" t="s">
        <v>101</v>
      </c>
      <c r="D1435" s="17" t="s">
        <v>102</v>
      </c>
      <c r="E1435" s="17" t="s">
        <v>68</v>
      </c>
      <c r="F1435" s="13" t="n">
        <v>0</v>
      </c>
      <c r="G1435" s="13" t="n">
        <v>48</v>
      </c>
      <c r="H1435" s="18" t="n">
        <f aca="false">N(G1435)-N(F1435)</f>
        <v>48</v>
      </c>
      <c r="I1435" s="13" t="n">
        <v>15</v>
      </c>
    </row>
    <row r="1436" customFormat="false" ht="15" hidden="false" customHeight="false" outlineLevel="0" collapsed="false">
      <c r="B1436" s="12" t="s">
        <v>50</v>
      </c>
      <c r="C1436" s="12" t="s">
        <v>121</v>
      </c>
      <c r="D1436" s="17" t="s">
        <v>122</v>
      </c>
      <c r="E1436" s="17" t="s">
        <v>68</v>
      </c>
      <c r="F1436" s="13" t="n">
        <v>2</v>
      </c>
      <c r="G1436" s="13" t="n">
        <v>2</v>
      </c>
      <c r="H1436" s="18" t="n">
        <f aca="false">N(G1436)-N(F1436)</f>
        <v>0</v>
      </c>
      <c r="I1436" s="13" t="n">
        <v>2</v>
      </c>
    </row>
    <row r="1437" customFormat="false" ht="15" hidden="false" customHeight="false" outlineLevel="0" collapsed="false">
      <c r="B1437" s="12" t="s">
        <v>50</v>
      </c>
      <c r="C1437" s="12" t="s">
        <v>248</v>
      </c>
      <c r="D1437" s="17" t="s">
        <v>133</v>
      </c>
      <c r="E1437" s="17" t="s">
        <v>68</v>
      </c>
      <c r="F1437" s="13" t="n">
        <v>6</v>
      </c>
      <c r="G1437" s="13" t="n">
        <v>0</v>
      </c>
      <c r="H1437" s="18" t="n">
        <f aca="false">N(G1437)-N(F1437)</f>
        <v>-6</v>
      </c>
      <c r="I1437" s="13" t="n">
        <v>6</v>
      </c>
    </row>
    <row r="1438" customFormat="false" ht="15" hidden="false" customHeight="false" outlineLevel="0" collapsed="false">
      <c r="B1438" s="12" t="s">
        <v>50</v>
      </c>
      <c r="C1438" s="12" t="s">
        <v>340</v>
      </c>
      <c r="D1438" s="17" t="s">
        <v>341</v>
      </c>
      <c r="E1438" s="17"/>
      <c r="F1438" s="13" t="n">
        <v>20</v>
      </c>
      <c r="G1438" s="13" t="n">
        <v>12</v>
      </c>
      <c r="H1438" s="18" t="n">
        <f aca="false">N(G1438)-N(F1438)</f>
        <v>-8</v>
      </c>
      <c r="I1438" s="13"/>
    </row>
    <row r="1439" customFormat="false" ht="15" hidden="false" customHeight="false" outlineLevel="0" collapsed="false">
      <c r="B1439" s="12" t="s">
        <v>50</v>
      </c>
      <c r="C1439" s="12" t="s">
        <v>103</v>
      </c>
      <c r="D1439" s="17" t="s">
        <v>104</v>
      </c>
      <c r="E1439" s="17" t="s">
        <v>68</v>
      </c>
      <c r="F1439" s="13" t="n">
        <v>42</v>
      </c>
      <c r="G1439" s="13" t="n">
        <v>28</v>
      </c>
      <c r="H1439" s="18" t="n">
        <f aca="false">N(G1439)-N(F1439)</f>
        <v>-14</v>
      </c>
      <c r="I1439" s="13" t="n">
        <v>50</v>
      </c>
    </row>
    <row r="1440" customFormat="false" ht="15" hidden="false" customHeight="false" outlineLevel="0" collapsed="false">
      <c r="B1440" s="12" t="s">
        <v>50</v>
      </c>
      <c r="C1440" s="12" t="s">
        <v>179</v>
      </c>
      <c r="D1440" s="17" t="s">
        <v>180</v>
      </c>
      <c r="E1440" s="17" t="s">
        <v>68</v>
      </c>
      <c r="F1440" s="13" t="n">
        <v>4</v>
      </c>
      <c r="G1440" s="13" t="n">
        <v>0</v>
      </c>
      <c r="H1440" s="18" t="n">
        <f aca="false">N(G1440)-N(F1440)</f>
        <v>-4</v>
      </c>
      <c r="I1440" s="13" t="n">
        <v>4</v>
      </c>
    </row>
    <row r="1441" customFormat="false" ht="15" hidden="false" customHeight="false" outlineLevel="0" collapsed="false">
      <c r="B1441" s="12" t="s">
        <v>50</v>
      </c>
      <c r="C1441" s="12" t="s">
        <v>342</v>
      </c>
      <c r="D1441" s="17" t="s">
        <v>343</v>
      </c>
      <c r="E1441" s="17"/>
      <c r="F1441" s="13" t="n">
        <v>0</v>
      </c>
      <c r="G1441" s="13" t="n">
        <v>6</v>
      </c>
      <c r="H1441" s="18" t="n">
        <f aca="false">N(G1441)-N(F1441)</f>
        <v>6</v>
      </c>
      <c r="I1441" s="13"/>
    </row>
    <row r="1442" customFormat="false" ht="15" hidden="false" customHeight="false" outlineLevel="0" collapsed="false">
      <c r="B1442" s="12" t="s">
        <v>50</v>
      </c>
      <c r="C1442" s="12" t="s">
        <v>143</v>
      </c>
      <c r="D1442" s="17" t="s">
        <v>144</v>
      </c>
      <c r="E1442" s="17" t="s">
        <v>68</v>
      </c>
      <c r="F1442" s="13" t="n">
        <v>7</v>
      </c>
      <c r="G1442" s="13" t="n">
        <v>7</v>
      </c>
      <c r="H1442" s="18" t="n">
        <f aca="false">N(G1442)-N(F1442)</f>
        <v>0</v>
      </c>
      <c r="I1442" s="13" t="n">
        <v>7</v>
      </c>
    </row>
    <row r="1443" customFormat="false" ht="15" hidden="false" customHeight="false" outlineLevel="0" collapsed="false">
      <c r="B1443" s="12" t="s">
        <v>50</v>
      </c>
      <c r="C1443" s="12" t="s">
        <v>182</v>
      </c>
      <c r="D1443" s="17" t="s">
        <v>183</v>
      </c>
      <c r="E1443" s="17" t="s">
        <v>68</v>
      </c>
      <c r="F1443" s="13" t="n">
        <v>4</v>
      </c>
      <c r="G1443" s="13" t="n">
        <v>4</v>
      </c>
      <c r="H1443" s="18" t="n">
        <f aca="false">N(G1443)-N(F1443)</f>
        <v>0</v>
      </c>
      <c r="I1443" s="13" t="n">
        <v>4</v>
      </c>
    </row>
    <row r="1444" customFormat="false" ht="15" hidden="false" customHeight="false" outlineLevel="0" collapsed="false">
      <c r="B1444" s="12" t="s">
        <v>50</v>
      </c>
      <c r="C1444" s="12" t="s">
        <v>123</v>
      </c>
      <c r="D1444" s="17" t="s">
        <v>124</v>
      </c>
      <c r="E1444" s="17"/>
      <c r="F1444" s="13" t="n">
        <v>0</v>
      </c>
      <c r="G1444" s="13" t="n">
        <v>10</v>
      </c>
      <c r="H1444" s="18" t="n">
        <f aca="false">N(G1444)-N(F1444)</f>
        <v>10</v>
      </c>
      <c r="I1444" s="13"/>
    </row>
    <row r="1445" customFormat="false" ht="15" hidden="false" customHeight="false" outlineLevel="0" collapsed="false">
      <c r="B1445" s="12" t="s">
        <v>50</v>
      </c>
      <c r="C1445" s="12" t="s">
        <v>105</v>
      </c>
      <c r="D1445" s="17" t="s">
        <v>106</v>
      </c>
      <c r="E1445" s="17" t="s">
        <v>68</v>
      </c>
      <c r="F1445" s="13" t="n">
        <v>9</v>
      </c>
      <c r="G1445" s="13" t="n">
        <v>6</v>
      </c>
      <c r="H1445" s="18" t="n">
        <f aca="false">N(G1445)-N(F1445)</f>
        <v>-3</v>
      </c>
      <c r="I1445" s="13" t="n">
        <v>9</v>
      </c>
    </row>
    <row r="1446" customFormat="false" ht="15" hidden="false" customHeight="false" outlineLevel="0" collapsed="false">
      <c r="B1446" s="12" t="s">
        <v>50</v>
      </c>
      <c r="C1446" s="12" t="s">
        <v>107</v>
      </c>
      <c r="D1446" s="17" t="s">
        <v>108</v>
      </c>
      <c r="E1446" s="17"/>
      <c r="F1446" s="13" t="n">
        <v>0</v>
      </c>
      <c r="G1446" s="13" t="n">
        <v>16</v>
      </c>
      <c r="H1446" s="18" t="n">
        <f aca="false">N(G1446)-N(F1446)</f>
        <v>16</v>
      </c>
      <c r="I1446" s="13"/>
    </row>
    <row r="1447" customFormat="false" ht="15" hidden="false" customHeight="false" outlineLevel="0" collapsed="false">
      <c r="B1447" s="12" t="s">
        <v>50</v>
      </c>
      <c r="C1447" s="12" t="s">
        <v>307</v>
      </c>
      <c r="D1447" s="17" t="s">
        <v>308</v>
      </c>
      <c r="E1447" s="17" t="s">
        <v>68</v>
      </c>
      <c r="F1447" s="13" t="n">
        <v>4</v>
      </c>
      <c r="G1447" s="13" t="n">
        <v>0</v>
      </c>
      <c r="H1447" s="18" t="n">
        <f aca="false">N(G1447)-N(F1447)</f>
        <v>-4</v>
      </c>
      <c r="I1447" s="13" t="n">
        <v>4</v>
      </c>
    </row>
    <row r="1448" customFormat="false" ht="15" hidden="false" customHeight="false" outlineLevel="0" collapsed="false">
      <c r="B1448" s="12" t="s">
        <v>50</v>
      </c>
      <c r="C1448" s="12" t="s">
        <v>310</v>
      </c>
      <c r="D1448" s="17" t="s">
        <v>311</v>
      </c>
      <c r="E1448" s="17" t="s">
        <v>68</v>
      </c>
      <c r="F1448" s="13" t="n">
        <v>8</v>
      </c>
      <c r="G1448" s="13" t="n">
        <v>6</v>
      </c>
      <c r="H1448" s="18" t="n">
        <f aca="false">N(G1448)-N(F1448)</f>
        <v>-2</v>
      </c>
      <c r="I1448" s="13" t="n">
        <v>8</v>
      </c>
    </row>
    <row r="1449" customFormat="false" ht="15" hidden="false" customHeight="false" outlineLevel="0" collapsed="false">
      <c r="B1449" s="12" t="s">
        <v>50</v>
      </c>
      <c r="C1449" s="12" t="s">
        <v>354</v>
      </c>
      <c r="D1449" s="17" t="s">
        <v>355</v>
      </c>
      <c r="E1449" s="17"/>
      <c r="F1449" s="13" t="n">
        <v>24</v>
      </c>
      <c r="G1449" s="13" t="n">
        <v>16</v>
      </c>
      <c r="H1449" s="18" t="n">
        <f aca="false">N(G1449)-N(F1449)</f>
        <v>-8</v>
      </c>
      <c r="I1449" s="13"/>
    </row>
    <row r="1450" customFormat="false" ht="15" hidden="false" customHeight="false" outlineLevel="0" collapsed="false">
      <c r="B1450" s="12" t="s">
        <v>50</v>
      </c>
      <c r="C1450" s="12" t="s">
        <v>184</v>
      </c>
      <c r="D1450" s="17" t="s">
        <v>185</v>
      </c>
      <c r="E1450" s="17" t="s">
        <v>68</v>
      </c>
      <c r="F1450" s="13" t="n">
        <v>4</v>
      </c>
      <c r="G1450" s="13" t="n">
        <v>0</v>
      </c>
      <c r="H1450" s="18" t="n">
        <f aca="false">N(G1450)-N(F1450)</f>
        <v>-4</v>
      </c>
      <c r="I1450" s="13" t="n">
        <v>4</v>
      </c>
    </row>
    <row r="1451" customFormat="false" ht="15" hidden="false" customHeight="false" outlineLevel="0" collapsed="false">
      <c r="B1451" s="12" t="s">
        <v>50</v>
      </c>
      <c r="C1451" s="12" t="s">
        <v>472</v>
      </c>
      <c r="D1451" s="17" t="s">
        <v>473</v>
      </c>
      <c r="E1451" s="17" t="s">
        <v>68</v>
      </c>
      <c r="F1451" s="13" t="n">
        <v>0</v>
      </c>
      <c r="G1451" s="13" t="n">
        <v>12</v>
      </c>
      <c r="H1451" s="18" t="n">
        <f aca="false">N(G1451)-N(F1451)</f>
        <v>12</v>
      </c>
      <c r="I1451" s="13" t="n">
        <v>12</v>
      </c>
    </row>
    <row r="1452" customFormat="false" ht="15" hidden="false" customHeight="false" outlineLevel="0" collapsed="false">
      <c r="B1452" s="12" t="s">
        <v>50</v>
      </c>
      <c r="C1452" s="12" t="s">
        <v>359</v>
      </c>
      <c r="D1452" s="17" t="s">
        <v>360</v>
      </c>
      <c r="E1452" s="17"/>
      <c r="F1452" s="13" t="n">
        <v>12</v>
      </c>
      <c r="G1452" s="13" t="n">
        <v>12</v>
      </c>
      <c r="H1452" s="18" t="n">
        <f aca="false">N(G1452)-N(F1452)</f>
        <v>0</v>
      </c>
      <c r="I1452" s="13"/>
    </row>
    <row r="1453" customFormat="false" ht="15" hidden="false" customHeight="false" outlineLevel="0" collapsed="false">
      <c r="B1453" s="12" t="s">
        <v>50</v>
      </c>
      <c r="C1453" s="12" t="s">
        <v>152</v>
      </c>
      <c r="D1453" s="17" t="s">
        <v>153</v>
      </c>
      <c r="E1453" s="17"/>
      <c r="F1453" s="13" t="n">
        <v>0</v>
      </c>
      <c r="G1453" s="13" t="n">
        <v>36</v>
      </c>
      <c r="H1453" s="18" t="n">
        <f aca="false">N(G1453)-N(F1453)</f>
        <v>36</v>
      </c>
      <c r="I1453" s="13"/>
    </row>
    <row r="1454" customFormat="false" ht="15" hidden="false" customHeight="false" outlineLevel="0" collapsed="false">
      <c r="B1454" s="12" t="s">
        <v>50</v>
      </c>
      <c r="C1454" s="12" t="s">
        <v>255</v>
      </c>
      <c r="D1454" s="17" t="s">
        <v>256</v>
      </c>
      <c r="E1454" s="17" t="s">
        <v>94</v>
      </c>
      <c r="F1454" s="13" t="n">
        <v>7850</v>
      </c>
      <c r="G1454" s="13" t="n">
        <v>7464</v>
      </c>
      <c r="H1454" s="18" t="n">
        <f aca="false">N(G1454)-N(F1454)</f>
        <v>-386</v>
      </c>
      <c r="I1454" s="13" t="n">
        <v>7880.6875</v>
      </c>
    </row>
    <row r="1455" customFormat="false" ht="15" hidden="false" customHeight="false" outlineLevel="0" collapsed="false">
      <c r="B1455" s="12" t="s">
        <v>50</v>
      </c>
      <c r="C1455" s="12" t="s">
        <v>157</v>
      </c>
      <c r="D1455" s="17" t="s">
        <v>158</v>
      </c>
      <c r="E1455" s="17" t="s">
        <v>68</v>
      </c>
      <c r="F1455" s="13" t="n">
        <v>36</v>
      </c>
      <c r="G1455" s="13" t="n">
        <v>36</v>
      </c>
      <c r="H1455" s="18" t="n">
        <f aca="false">N(G1455)-N(F1455)</f>
        <v>0</v>
      </c>
      <c r="I1455" s="13" t="n">
        <v>36</v>
      </c>
    </row>
    <row r="1456" customFormat="false" ht="15" hidden="false" customHeight="false" outlineLevel="0" collapsed="false">
      <c r="B1456" s="12" t="s">
        <v>50</v>
      </c>
      <c r="C1456" s="12" t="s">
        <v>125</v>
      </c>
      <c r="D1456" s="17" t="s">
        <v>126</v>
      </c>
      <c r="E1456" s="17" t="s">
        <v>68</v>
      </c>
      <c r="F1456" s="13" t="n">
        <v>2</v>
      </c>
      <c r="G1456" s="13" t="n">
        <v>2</v>
      </c>
      <c r="H1456" s="18" t="n">
        <f aca="false">N(G1456)-N(F1456)</f>
        <v>0</v>
      </c>
      <c r="I1456" s="13" t="n">
        <v>2</v>
      </c>
    </row>
    <row r="1457" customFormat="false" ht="15" hidden="false" customHeight="false" outlineLevel="0" collapsed="false">
      <c r="B1457" s="12" t="s">
        <v>50</v>
      </c>
      <c r="C1457" s="12" t="s">
        <v>127</v>
      </c>
      <c r="D1457" s="17" t="s">
        <v>128</v>
      </c>
      <c r="E1457" s="17" t="s">
        <v>68</v>
      </c>
      <c r="F1457" s="13" t="n">
        <v>0</v>
      </c>
      <c r="G1457" s="13" t="n">
        <v>32</v>
      </c>
      <c r="H1457" s="18" t="n">
        <f aca="false">N(G1457)-N(F1457)</f>
        <v>32</v>
      </c>
      <c r="I1457" s="13" t="n">
        <v>32</v>
      </c>
    </row>
    <row r="1458" customFormat="false" ht="15" hidden="false" customHeight="false" outlineLevel="0" collapsed="false">
      <c r="B1458" s="12" t="s">
        <v>50</v>
      </c>
      <c r="C1458" s="12" t="s">
        <v>224</v>
      </c>
      <c r="D1458" s="17" t="s">
        <v>225</v>
      </c>
      <c r="E1458" s="17"/>
      <c r="F1458" s="13" t="n">
        <v>4</v>
      </c>
      <c r="G1458" s="13" t="n">
        <v>4</v>
      </c>
      <c r="H1458" s="18" t="n">
        <f aca="false">N(G1458)-N(F1458)</f>
        <v>0</v>
      </c>
      <c r="I1458" s="13"/>
    </row>
    <row r="1459" customFormat="false" ht="15" hidden="false" customHeight="false" outlineLevel="0" collapsed="false">
      <c r="B1459" s="12" t="s">
        <v>50</v>
      </c>
      <c r="C1459" s="12" t="s">
        <v>161</v>
      </c>
      <c r="D1459" s="17" t="s">
        <v>162</v>
      </c>
      <c r="E1459" s="17" t="s">
        <v>94</v>
      </c>
      <c r="F1459" s="13" t="n">
        <v>0</v>
      </c>
      <c r="G1459" s="13" t="n">
        <v>160</v>
      </c>
      <c r="H1459" s="18" t="n">
        <f aca="false">N(G1459)-N(F1459)</f>
        <v>160</v>
      </c>
      <c r="I1459" s="13" t="n">
        <v>425.5319</v>
      </c>
    </row>
    <row r="1460" customFormat="false" ht="15" hidden="false" customHeight="false" outlineLevel="0" collapsed="false">
      <c r="B1460" s="12" t="s">
        <v>51</v>
      </c>
      <c r="C1460" s="12" t="s">
        <v>66</v>
      </c>
      <c r="D1460" s="17" t="s">
        <v>67</v>
      </c>
      <c r="E1460" s="17"/>
      <c r="F1460" s="13" t="n">
        <v>18</v>
      </c>
      <c r="G1460" s="13" t="n">
        <v>20</v>
      </c>
      <c r="H1460" s="18" t="n">
        <f aca="false">N(G1460)-N(F1460)</f>
        <v>2</v>
      </c>
      <c r="I1460" s="13"/>
    </row>
    <row r="1461" customFormat="false" ht="15" hidden="false" customHeight="false" outlineLevel="0" collapsed="false">
      <c r="B1461" s="12" t="s">
        <v>51</v>
      </c>
      <c r="C1461" s="12" t="s">
        <v>129</v>
      </c>
      <c r="D1461" s="17" t="s">
        <v>130</v>
      </c>
      <c r="E1461" s="17"/>
      <c r="F1461" s="13" t="n">
        <v>0</v>
      </c>
      <c r="G1461" s="13" t="n">
        <v>1</v>
      </c>
      <c r="H1461" s="18" t="n">
        <f aca="false">N(G1461)-N(F1461)</f>
        <v>1</v>
      </c>
      <c r="I1461" s="13"/>
    </row>
    <row r="1462" customFormat="false" ht="15" hidden="false" customHeight="false" outlineLevel="0" collapsed="false">
      <c r="B1462" s="12" t="s">
        <v>51</v>
      </c>
      <c r="C1462" s="12" t="s">
        <v>274</v>
      </c>
      <c r="D1462" s="17" t="s">
        <v>275</v>
      </c>
      <c r="E1462" s="17" t="s">
        <v>68</v>
      </c>
      <c r="F1462" s="13" t="n">
        <v>0</v>
      </c>
      <c r="G1462" s="13" t="n">
        <v>0</v>
      </c>
      <c r="H1462" s="18" t="n">
        <f aca="false">N(G1462)-N(F1462)</f>
        <v>0</v>
      </c>
      <c r="I1462" s="13" t="n">
        <v>11</v>
      </c>
    </row>
    <row r="1463" customFormat="false" ht="15" hidden="false" customHeight="false" outlineLevel="0" collapsed="false">
      <c r="B1463" s="12" t="s">
        <v>51</v>
      </c>
      <c r="C1463" s="12" t="s">
        <v>231</v>
      </c>
      <c r="D1463" s="17" t="s">
        <v>232</v>
      </c>
      <c r="E1463" s="17"/>
      <c r="F1463" s="13" t="n">
        <v>0</v>
      </c>
      <c r="G1463" s="13" t="n">
        <v>1</v>
      </c>
      <c r="H1463" s="18" t="n">
        <f aca="false">N(G1463)-N(F1463)</f>
        <v>1</v>
      </c>
      <c r="I1463" s="13"/>
    </row>
    <row r="1464" customFormat="false" ht="15" hidden="false" customHeight="false" outlineLevel="0" collapsed="false">
      <c r="B1464" s="12" t="s">
        <v>51</v>
      </c>
      <c r="C1464" s="12" t="s">
        <v>70</v>
      </c>
      <c r="D1464" s="17" t="s">
        <v>71</v>
      </c>
      <c r="E1464" s="17"/>
      <c r="F1464" s="13" t="n">
        <v>0</v>
      </c>
      <c r="G1464" s="13" t="n">
        <v>8</v>
      </c>
      <c r="H1464" s="18" t="n">
        <f aca="false">N(G1464)-N(F1464)</f>
        <v>8</v>
      </c>
      <c r="I1464" s="13"/>
    </row>
    <row r="1465" customFormat="false" ht="15" hidden="false" customHeight="false" outlineLevel="0" collapsed="false">
      <c r="B1465" s="12" t="s">
        <v>51</v>
      </c>
      <c r="C1465" s="12" t="s">
        <v>72</v>
      </c>
      <c r="D1465" s="17" t="s">
        <v>73</v>
      </c>
      <c r="E1465" s="17"/>
      <c r="F1465" s="13" t="n">
        <v>0</v>
      </c>
      <c r="G1465" s="13" t="n">
        <v>4</v>
      </c>
      <c r="H1465" s="18" t="n">
        <f aca="false">N(G1465)-N(F1465)</f>
        <v>4</v>
      </c>
      <c r="I1465" s="13"/>
    </row>
    <row r="1466" customFormat="false" ht="15" hidden="false" customHeight="false" outlineLevel="0" collapsed="false">
      <c r="B1466" s="12" t="s">
        <v>51</v>
      </c>
      <c r="C1466" s="12" t="s">
        <v>74</v>
      </c>
      <c r="D1466" s="17" t="s">
        <v>75</v>
      </c>
      <c r="E1466" s="17"/>
      <c r="F1466" s="13" t="n">
        <v>0</v>
      </c>
      <c r="G1466" s="13" t="n">
        <v>2</v>
      </c>
      <c r="H1466" s="18" t="n">
        <f aca="false">N(G1466)-N(F1466)</f>
        <v>2</v>
      </c>
      <c r="I1466" s="13"/>
    </row>
    <row r="1467" customFormat="false" ht="15" hidden="false" customHeight="false" outlineLevel="0" collapsed="false">
      <c r="B1467" s="12" t="s">
        <v>51</v>
      </c>
      <c r="C1467" s="12" t="s">
        <v>76</v>
      </c>
      <c r="D1467" s="17" t="s">
        <v>77</v>
      </c>
      <c r="E1467" s="17" t="s">
        <v>68</v>
      </c>
      <c r="F1467" s="13" t="n">
        <v>15</v>
      </c>
      <c r="G1467" s="13" t="n">
        <v>0</v>
      </c>
      <c r="H1467" s="18" t="n">
        <f aca="false">N(G1467)-N(F1467)</f>
        <v>-15</v>
      </c>
      <c r="I1467" s="13" t="n">
        <v>15</v>
      </c>
    </row>
    <row r="1468" customFormat="false" ht="15" hidden="false" customHeight="false" outlineLevel="0" collapsed="false">
      <c r="B1468" s="12" t="s">
        <v>51</v>
      </c>
      <c r="C1468" s="12" t="s">
        <v>78</v>
      </c>
      <c r="D1468" s="17" t="s">
        <v>79</v>
      </c>
      <c r="E1468" s="17"/>
      <c r="F1468" s="13" t="n">
        <v>0</v>
      </c>
      <c r="G1468" s="13" t="n">
        <v>5</v>
      </c>
      <c r="H1468" s="18" t="n">
        <f aca="false">N(G1468)-N(F1468)</f>
        <v>5</v>
      </c>
      <c r="I1468" s="13"/>
    </row>
    <row r="1469" customFormat="false" ht="15" hidden="false" customHeight="false" outlineLevel="0" collapsed="false">
      <c r="B1469" s="12" t="s">
        <v>51</v>
      </c>
      <c r="C1469" s="12" t="s">
        <v>80</v>
      </c>
      <c r="D1469" s="17" t="s">
        <v>81</v>
      </c>
      <c r="E1469" s="17" t="s">
        <v>68</v>
      </c>
      <c r="F1469" s="13" t="n">
        <v>15</v>
      </c>
      <c r="G1469" s="13" t="n">
        <v>25</v>
      </c>
      <c r="H1469" s="18" t="n">
        <f aca="false">N(G1469)-N(F1469)</f>
        <v>10</v>
      </c>
      <c r="I1469" s="13" t="n">
        <v>15</v>
      </c>
    </row>
    <row r="1470" customFormat="false" ht="15" hidden="false" customHeight="false" outlineLevel="0" collapsed="false">
      <c r="B1470" s="12" t="s">
        <v>51</v>
      </c>
      <c r="C1470" s="12" t="s">
        <v>82</v>
      </c>
      <c r="D1470" s="17" t="s">
        <v>83</v>
      </c>
      <c r="E1470" s="17" t="s">
        <v>68</v>
      </c>
      <c r="F1470" s="13" t="n">
        <v>11</v>
      </c>
      <c r="G1470" s="13" t="n">
        <v>0</v>
      </c>
      <c r="H1470" s="18" t="n">
        <f aca="false">N(G1470)-N(F1470)</f>
        <v>-11</v>
      </c>
      <c r="I1470" s="13" t="n">
        <v>11</v>
      </c>
    </row>
    <row r="1471" customFormat="false" ht="15" hidden="false" customHeight="false" outlineLevel="0" collapsed="false">
      <c r="B1471" s="12" t="s">
        <v>51</v>
      </c>
      <c r="C1471" s="12" t="s">
        <v>84</v>
      </c>
      <c r="D1471" s="17" t="s">
        <v>85</v>
      </c>
      <c r="E1471" s="17"/>
      <c r="F1471" s="13" t="n">
        <v>0</v>
      </c>
      <c r="G1471" s="13" t="n">
        <v>5</v>
      </c>
      <c r="H1471" s="18" t="n">
        <f aca="false">N(G1471)-N(F1471)</f>
        <v>5</v>
      </c>
      <c r="I1471" s="13"/>
    </row>
    <row r="1472" customFormat="false" ht="15" hidden="false" customHeight="false" outlineLevel="0" collapsed="false">
      <c r="B1472" s="12" t="s">
        <v>51</v>
      </c>
      <c r="C1472" s="12" t="s">
        <v>86</v>
      </c>
      <c r="D1472" s="17" t="s">
        <v>87</v>
      </c>
      <c r="E1472" s="17"/>
      <c r="F1472" s="13" t="n">
        <v>0</v>
      </c>
      <c r="G1472" s="13" t="n">
        <v>7</v>
      </c>
      <c r="H1472" s="18" t="n">
        <f aca="false">N(G1472)-N(F1472)</f>
        <v>7</v>
      </c>
      <c r="I1472" s="13"/>
    </row>
    <row r="1473" customFormat="false" ht="15" hidden="false" customHeight="false" outlineLevel="0" collapsed="false">
      <c r="B1473" s="12" t="s">
        <v>51</v>
      </c>
      <c r="C1473" s="12" t="s">
        <v>135</v>
      </c>
      <c r="D1473" s="17" t="s">
        <v>136</v>
      </c>
      <c r="E1473" s="17" t="s">
        <v>94</v>
      </c>
      <c r="F1473" s="13" t="n">
        <v>350</v>
      </c>
      <c r="G1473" s="13" t="n">
        <v>0</v>
      </c>
      <c r="H1473" s="18" t="n">
        <f aca="false">N(G1473)-N(F1473)</f>
        <v>-350</v>
      </c>
      <c r="I1473" s="13" t="n">
        <v>365.4953</v>
      </c>
    </row>
    <row r="1474" customFormat="false" ht="15" hidden="false" customHeight="false" outlineLevel="0" collapsed="false">
      <c r="B1474" s="12" t="s">
        <v>51</v>
      </c>
      <c r="C1474" s="12" t="s">
        <v>88</v>
      </c>
      <c r="D1474" s="17" t="s">
        <v>89</v>
      </c>
      <c r="E1474" s="17" t="s">
        <v>68</v>
      </c>
      <c r="F1474" s="13" t="n">
        <v>11</v>
      </c>
      <c r="G1474" s="13" t="n">
        <v>7</v>
      </c>
      <c r="H1474" s="18" t="n">
        <f aca="false">N(G1474)-N(F1474)</f>
        <v>-4</v>
      </c>
      <c r="I1474" s="13" t="n">
        <v>11</v>
      </c>
    </row>
    <row r="1475" customFormat="false" ht="15" hidden="false" customHeight="false" outlineLevel="0" collapsed="false">
      <c r="B1475" s="12" t="s">
        <v>51</v>
      </c>
      <c r="C1475" s="12" t="s">
        <v>90</v>
      </c>
      <c r="D1475" s="17" t="s">
        <v>91</v>
      </c>
      <c r="E1475" s="17" t="s">
        <v>68</v>
      </c>
      <c r="F1475" s="13" t="n">
        <v>3</v>
      </c>
      <c r="G1475" s="13" t="n">
        <v>0</v>
      </c>
      <c r="H1475" s="18" t="n">
        <f aca="false">N(G1475)-N(F1475)</f>
        <v>-3</v>
      </c>
      <c r="I1475" s="13" t="n">
        <v>3</v>
      </c>
    </row>
    <row r="1476" customFormat="false" ht="15" hidden="false" customHeight="false" outlineLevel="0" collapsed="false">
      <c r="B1476" s="12" t="s">
        <v>51</v>
      </c>
      <c r="C1476" s="12" t="s">
        <v>92</v>
      </c>
      <c r="D1476" s="17" t="s">
        <v>93</v>
      </c>
      <c r="E1476" s="17"/>
      <c r="F1476" s="13" t="n">
        <v>0</v>
      </c>
      <c r="G1476" s="13" t="n">
        <v>65</v>
      </c>
      <c r="H1476" s="18" t="n">
        <f aca="false">N(G1476)-N(F1476)</f>
        <v>65</v>
      </c>
      <c r="I1476" s="13"/>
    </row>
    <row r="1477" customFormat="false" ht="15" hidden="false" customHeight="false" outlineLevel="0" collapsed="false">
      <c r="B1477" s="12" t="s">
        <v>51</v>
      </c>
      <c r="C1477" s="12" t="s">
        <v>95</v>
      </c>
      <c r="D1477" s="17" t="s">
        <v>96</v>
      </c>
      <c r="E1477" s="17"/>
      <c r="F1477" s="13" t="n">
        <v>3</v>
      </c>
      <c r="G1477" s="13" t="n">
        <v>4</v>
      </c>
      <c r="H1477" s="18" t="n">
        <f aca="false">N(G1477)-N(F1477)</f>
        <v>1</v>
      </c>
      <c r="I1477" s="13"/>
    </row>
    <row r="1478" customFormat="false" ht="15" hidden="false" customHeight="false" outlineLevel="0" collapsed="false">
      <c r="B1478" s="12" t="s">
        <v>51</v>
      </c>
      <c r="C1478" s="12" t="s">
        <v>97</v>
      </c>
      <c r="D1478" s="17" t="s">
        <v>98</v>
      </c>
      <c r="E1478" s="17" t="s">
        <v>68</v>
      </c>
      <c r="F1478" s="13" t="n">
        <v>15</v>
      </c>
      <c r="G1478" s="13" t="n">
        <v>0</v>
      </c>
      <c r="H1478" s="18" t="n">
        <f aca="false">N(G1478)-N(F1478)</f>
        <v>-15</v>
      </c>
      <c r="I1478" s="13" t="n">
        <v>15</v>
      </c>
    </row>
    <row r="1479" customFormat="false" ht="15" hidden="false" customHeight="false" outlineLevel="0" collapsed="false">
      <c r="B1479" s="12" t="s">
        <v>51</v>
      </c>
      <c r="C1479" s="12" t="s">
        <v>591</v>
      </c>
      <c r="D1479" s="17" t="s">
        <v>367</v>
      </c>
      <c r="E1479" s="17"/>
      <c r="F1479" s="13" t="n">
        <v>0</v>
      </c>
      <c r="G1479" s="13" t="n">
        <v>1</v>
      </c>
      <c r="H1479" s="18" t="n">
        <f aca="false">N(G1479)-N(F1479)</f>
        <v>1</v>
      </c>
      <c r="I1479" s="13"/>
    </row>
    <row r="1480" customFormat="false" ht="15" hidden="false" customHeight="false" outlineLevel="0" collapsed="false">
      <c r="B1480" s="12" t="s">
        <v>51</v>
      </c>
      <c r="C1480" s="12" t="s">
        <v>302</v>
      </c>
      <c r="D1480" s="17" t="s">
        <v>133</v>
      </c>
      <c r="E1480" s="17"/>
      <c r="F1480" s="13" t="n">
        <v>18</v>
      </c>
      <c r="G1480" s="13" t="n">
        <v>18</v>
      </c>
      <c r="H1480" s="18" t="n">
        <f aca="false">N(G1480)-N(F1480)</f>
        <v>0</v>
      </c>
      <c r="I1480" s="13"/>
    </row>
    <row r="1481" customFormat="false" ht="15" hidden="false" customHeight="false" outlineLevel="0" collapsed="false">
      <c r="B1481" s="12" t="s">
        <v>51</v>
      </c>
      <c r="C1481" s="12" t="s">
        <v>518</v>
      </c>
      <c r="D1481" s="17" t="s">
        <v>133</v>
      </c>
      <c r="E1481" s="17"/>
      <c r="F1481" s="13" t="n">
        <v>0</v>
      </c>
      <c r="G1481" s="13" t="n">
        <v>6</v>
      </c>
      <c r="H1481" s="18" t="n">
        <f aca="false">N(G1481)-N(F1481)</f>
        <v>6</v>
      </c>
      <c r="I1481" s="13"/>
    </row>
    <row r="1482" customFormat="false" ht="15" hidden="false" customHeight="false" outlineLevel="0" collapsed="false">
      <c r="B1482" s="12" t="s">
        <v>51</v>
      </c>
      <c r="C1482" s="12" t="s">
        <v>115</v>
      </c>
      <c r="D1482" s="17" t="s">
        <v>116</v>
      </c>
      <c r="E1482" s="17" t="s">
        <v>68</v>
      </c>
      <c r="F1482" s="13" t="n">
        <v>3</v>
      </c>
      <c r="G1482" s="13" t="n">
        <v>0</v>
      </c>
      <c r="H1482" s="18" t="n">
        <f aca="false">N(G1482)-N(F1482)</f>
        <v>-3</v>
      </c>
      <c r="I1482" s="13" t="n">
        <v>3</v>
      </c>
    </row>
    <row r="1483" customFormat="false" ht="15" hidden="false" customHeight="false" outlineLevel="0" collapsed="false">
      <c r="B1483" s="12" t="s">
        <v>51</v>
      </c>
      <c r="C1483" s="12" t="s">
        <v>118</v>
      </c>
      <c r="D1483" s="17" t="s">
        <v>119</v>
      </c>
      <c r="E1483" s="17" t="s">
        <v>68</v>
      </c>
      <c r="F1483" s="13" t="n">
        <v>3</v>
      </c>
      <c r="G1483" s="13" t="n">
        <v>0</v>
      </c>
      <c r="H1483" s="18" t="n">
        <f aca="false">N(G1483)-N(F1483)</f>
        <v>-3</v>
      </c>
      <c r="I1483" s="13" t="n">
        <v>3</v>
      </c>
    </row>
    <row r="1484" customFormat="false" ht="15" hidden="false" customHeight="false" outlineLevel="0" collapsed="false">
      <c r="B1484" s="12" t="s">
        <v>51</v>
      </c>
      <c r="C1484" s="12" t="s">
        <v>99</v>
      </c>
      <c r="D1484" s="17" t="s">
        <v>100</v>
      </c>
      <c r="E1484" s="17" t="s">
        <v>68</v>
      </c>
      <c r="F1484" s="13" t="n">
        <v>18</v>
      </c>
      <c r="G1484" s="13" t="n">
        <v>28</v>
      </c>
      <c r="H1484" s="18" t="n">
        <f aca="false">N(G1484)-N(F1484)</f>
        <v>10</v>
      </c>
      <c r="I1484" s="13" t="n">
        <v>18</v>
      </c>
    </row>
    <row r="1485" customFormat="false" ht="15" hidden="false" customHeight="false" outlineLevel="0" collapsed="false">
      <c r="B1485" s="12" t="s">
        <v>51</v>
      </c>
      <c r="C1485" s="12" t="s">
        <v>101</v>
      </c>
      <c r="D1485" s="17" t="s">
        <v>102</v>
      </c>
      <c r="E1485" s="17" t="s">
        <v>68</v>
      </c>
      <c r="F1485" s="13" t="n">
        <v>0</v>
      </c>
      <c r="G1485" s="13" t="n">
        <v>3</v>
      </c>
      <c r="H1485" s="18" t="n">
        <f aca="false">N(G1485)-N(F1485)</f>
        <v>3</v>
      </c>
      <c r="I1485" s="13" t="n">
        <v>3</v>
      </c>
    </row>
    <row r="1486" customFormat="false" ht="15" hidden="false" customHeight="false" outlineLevel="0" collapsed="false">
      <c r="B1486" s="12" t="s">
        <v>51</v>
      </c>
      <c r="C1486" s="12" t="s">
        <v>248</v>
      </c>
      <c r="D1486" s="17" t="s">
        <v>133</v>
      </c>
      <c r="E1486" s="17" t="s">
        <v>68</v>
      </c>
      <c r="F1486" s="13" t="n">
        <v>3</v>
      </c>
      <c r="G1486" s="13" t="n">
        <v>0</v>
      </c>
      <c r="H1486" s="18" t="n">
        <f aca="false">N(G1486)-N(F1486)</f>
        <v>-3</v>
      </c>
      <c r="I1486" s="13" t="n">
        <v>3</v>
      </c>
    </row>
    <row r="1487" customFormat="false" ht="15" hidden="false" customHeight="false" outlineLevel="0" collapsed="false">
      <c r="B1487" s="12" t="s">
        <v>51</v>
      </c>
      <c r="C1487" s="12" t="s">
        <v>176</v>
      </c>
      <c r="D1487" s="17" t="s">
        <v>177</v>
      </c>
      <c r="E1487" s="17"/>
      <c r="F1487" s="13" t="n">
        <v>0</v>
      </c>
      <c r="G1487" s="13" t="n">
        <v>4</v>
      </c>
      <c r="H1487" s="18" t="n">
        <f aca="false">N(G1487)-N(F1487)</f>
        <v>4</v>
      </c>
      <c r="I1487" s="13"/>
    </row>
    <row r="1488" customFormat="false" ht="15" hidden="false" customHeight="false" outlineLevel="0" collapsed="false">
      <c r="B1488" s="12" t="s">
        <v>51</v>
      </c>
      <c r="C1488" s="12" t="s">
        <v>103</v>
      </c>
      <c r="D1488" s="17" t="s">
        <v>104</v>
      </c>
      <c r="E1488" s="17" t="s">
        <v>68</v>
      </c>
      <c r="F1488" s="13" t="n">
        <v>15</v>
      </c>
      <c r="G1488" s="13" t="n">
        <v>22</v>
      </c>
      <c r="H1488" s="18" t="n">
        <f aca="false">N(G1488)-N(F1488)</f>
        <v>7</v>
      </c>
      <c r="I1488" s="13" t="n">
        <v>15</v>
      </c>
    </row>
    <row r="1489" customFormat="false" ht="15" hidden="false" customHeight="false" outlineLevel="0" collapsed="false">
      <c r="B1489" s="12" t="s">
        <v>51</v>
      </c>
      <c r="C1489" s="12" t="s">
        <v>215</v>
      </c>
      <c r="D1489" s="17" t="s">
        <v>216</v>
      </c>
      <c r="E1489" s="17" t="s">
        <v>68</v>
      </c>
      <c r="F1489" s="13" t="n">
        <v>0</v>
      </c>
      <c r="G1489" s="13" t="n">
        <v>3</v>
      </c>
      <c r="H1489" s="18" t="n">
        <f aca="false">N(G1489)-N(F1489)</f>
        <v>3</v>
      </c>
      <c r="I1489" s="13" t="n">
        <v>3</v>
      </c>
    </row>
    <row r="1490" customFormat="false" ht="15" hidden="false" customHeight="false" outlineLevel="0" collapsed="false">
      <c r="B1490" s="12" t="s">
        <v>51</v>
      </c>
      <c r="C1490" s="12" t="s">
        <v>469</v>
      </c>
      <c r="D1490" s="17" t="s">
        <v>470</v>
      </c>
      <c r="E1490" s="17"/>
      <c r="F1490" s="13" t="n">
        <v>0</v>
      </c>
      <c r="G1490" s="13" t="n">
        <v>201</v>
      </c>
      <c r="H1490" s="18" t="n">
        <f aca="false">N(G1490)-N(F1490)</f>
        <v>201</v>
      </c>
      <c r="I1490" s="13"/>
    </row>
    <row r="1491" customFormat="false" ht="15" hidden="false" customHeight="false" outlineLevel="0" collapsed="false">
      <c r="B1491" s="12" t="s">
        <v>51</v>
      </c>
      <c r="C1491" s="12" t="s">
        <v>143</v>
      </c>
      <c r="D1491" s="17" t="s">
        <v>144</v>
      </c>
      <c r="E1491" s="17" t="s">
        <v>68</v>
      </c>
      <c r="F1491" s="13" t="n">
        <v>5</v>
      </c>
      <c r="G1491" s="13" t="n">
        <v>7</v>
      </c>
      <c r="H1491" s="18" t="n">
        <f aca="false">N(G1491)-N(F1491)</f>
        <v>2</v>
      </c>
      <c r="I1491" s="13" t="n">
        <v>5</v>
      </c>
    </row>
    <row r="1492" customFormat="false" ht="15" hidden="false" customHeight="false" outlineLevel="0" collapsed="false">
      <c r="B1492" s="12" t="s">
        <v>51</v>
      </c>
      <c r="C1492" s="12" t="s">
        <v>615</v>
      </c>
      <c r="D1492" s="17" t="s">
        <v>616</v>
      </c>
      <c r="E1492" s="17"/>
      <c r="F1492" s="13" t="n">
        <v>0</v>
      </c>
      <c r="G1492" s="13" t="n">
        <v>4</v>
      </c>
      <c r="H1492" s="18" t="n">
        <f aca="false">N(G1492)-N(F1492)</f>
        <v>4</v>
      </c>
      <c r="I1492" s="13"/>
    </row>
    <row r="1493" customFormat="false" ht="15" hidden="false" customHeight="false" outlineLevel="0" collapsed="false">
      <c r="B1493" s="12" t="s">
        <v>51</v>
      </c>
      <c r="C1493" s="12" t="s">
        <v>105</v>
      </c>
      <c r="D1493" s="17" t="s">
        <v>106</v>
      </c>
      <c r="E1493" s="17" t="s">
        <v>68</v>
      </c>
      <c r="F1493" s="13" t="n">
        <v>11</v>
      </c>
      <c r="G1493" s="13" t="n">
        <v>7</v>
      </c>
      <c r="H1493" s="18" t="n">
        <f aca="false">N(G1493)-N(F1493)</f>
        <v>-4</v>
      </c>
      <c r="I1493" s="13" t="n">
        <v>11</v>
      </c>
    </row>
    <row r="1494" customFormat="false" ht="15" hidden="false" customHeight="false" outlineLevel="0" collapsed="false">
      <c r="B1494" s="12" t="s">
        <v>51</v>
      </c>
      <c r="C1494" s="12" t="s">
        <v>107</v>
      </c>
      <c r="D1494" s="17" t="s">
        <v>108</v>
      </c>
      <c r="E1494" s="17"/>
      <c r="F1494" s="13" t="n">
        <v>0</v>
      </c>
      <c r="G1494" s="13" t="n">
        <v>1</v>
      </c>
      <c r="H1494" s="18" t="n">
        <f aca="false">N(G1494)-N(F1494)</f>
        <v>1</v>
      </c>
      <c r="I1494" s="13"/>
    </row>
    <row r="1495" customFormat="false" ht="15" hidden="false" customHeight="false" outlineLevel="0" collapsed="false">
      <c r="B1495" s="12" t="s">
        <v>51</v>
      </c>
      <c r="C1495" s="12" t="s">
        <v>255</v>
      </c>
      <c r="D1495" s="17" t="s">
        <v>256</v>
      </c>
      <c r="E1495" s="17" t="s">
        <v>94</v>
      </c>
      <c r="F1495" s="13" t="n">
        <v>850</v>
      </c>
      <c r="G1495" s="13" t="n">
        <v>603</v>
      </c>
      <c r="H1495" s="18" t="n">
        <f aca="false">N(G1495)-N(F1495)</f>
        <v>-247</v>
      </c>
      <c r="I1495" s="13" t="n">
        <v>853.3228</v>
      </c>
    </row>
    <row r="1496" customFormat="false" ht="15" hidden="false" customHeight="false" outlineLevel="0" collapsed="false">
      <c r="B1496" s="12" t="s">
        <v>51</v>
      </c>
      <c r="C1496" s="12" t="s">
        <v>642</v>
      </c>
      <c r="D1496" s="17" t="s">
        <v>222</v>
      </c>
      <c r="E1496" s="17"/>
      <c r="F1496" s="13" t="n">
        <v>0</v>
      </c>
      <c r="G1496" s="13" t="n">
        <v>1</v>
      </c>
      <c r="H1496" s="18" t="n">
        <f aca="false">N(G1496)-N(F1496)</f>
        <v>1</v>
      </c>
      <c r="I1496" s="13"/>
    </row>
    <row r="1497" customFormat="false" ht="15" hidden="false" customHeight="false" outlineLevel="0" collapsed="false">
      <c r="B1497" s="12" t="s">
        <v>51</v>
      </c>
      <c r="C1497" s="12" t="s">
        <v>437</v>
      </c>
      <c r="D1497" s="17" t="s">
        <v>438</v>
      </c>
      <c r="E1497" s="17"/>
      <c r="F1497" s="13" t="n">
        <v>0</v>
      </c>
      <c r="G1497" s="13" t="n">
        <v>6</v>
      </c>
      <c r="H1497" s="18" t="n">
        <f aca="false">N(G1497)-N(F1497)</f>
        <v>6</v>
      </c>
      <c r="I1497" s="13"/>
    </row>
    <row r="1498" customFormat="false" ht="15" hidden="false" customHeight="false" outlineLevel="0" collapsed="false">
      <c r="B1498" s="12" t="s">
        <v>51</v>
      </c>
      <c r="C1498" s="12" t="s">
        <v>260</v>
      </c>
      <c r="D1498" s="17" t="s">
        <v>261</v>
      </c>
      <c r="E1498" s="17"/>
      <c r="F1498" s="13" t="n">
        <v>5</v>
      </c>
      <c r="G1498" s="13" t="n">
        <v>0</v>
      </c>
      <c r="H1498" s="18" t="n">
        <f aca="false">N(G1498)-N(F1498)</f>
        <v>-5</v>
      </c>
      <c r="I1498" s="13"/>
    </row>
    <row r="1499" customFormat="false" ht="15" hidden="false" customHeight="false" outlineLevel="0" collapsed="false">
      <c r="B1499" s="12" t="s">
        <v>52</v>
      </c>
      <c r="C1499" s="12" t="s">
        <v>66</v>
      </c>
      <c r="D1499" s="17" t="s">
        <v>67</v>
      </c>
      <c r="E1499" s="17"/>
      <c r="F1499" s="13" t="n">
        <v>20</v>
      </c>
      <c r="G1499" s="13" t="n">
        <v>16</v>
      </c>
      <c r="H1499" s="18" t="n">
        <f aca="false">N(G1499)-N(F1499)</f>
        <v>-4</v>
      </c>
      <c r="I1499" s="13"/>
    </row>
    <row r="1500" customFormat="false" ht="15" hidden="false" customHeight="false" outlineLevel="0" collapsed="false">
      <c r="B1500" s="12" t="s">
        <v>52</v>
      </c>
      <c r="C1500" s="12" t="s">
        <v>187</v>
      </c>
      <c r="D1500" s="17" t="s">
        <v>188</v>
      </c>
      <c r="E1500" s="17" t="s">
        <v>68</v>
      </c>
      <c r="F1500" s="13" t="n">
        <v>0</v>
      </c>
      <c r="G1500" s="13" t="n">
        <v>0</v>
      </c>
      <c r="H1500" s="18" t="n">
        <f aca="false">N(G1500)-N(F1500)</f>
        <v>0</v>
      </c>
      <c r="I1500" s="13" t="n">
        <v>1</v>
      </c>
    </row>
    <row r="1501" customFormat="false" ht="15" hidden="false" customHeight="false" outlineLevel="0" collapsed="false">
      <c r="B1501" s="12" t="s">
        <v>52</v>
      </c>
      <c r="C1501" s="12" t="s">
        <v>129</v>
      </c>
      <c r="D1501" s="17" t="s">
        <v>130</v>
      </c>
      <c r="E1501" s="17"/>
      <c r="F1501" s="13" t="n">
        <v>0</v>
      </c>
      <c r="G1501" s="13" t="n">
        <v>7</v>
      </c>
      <c r="H1501" s="18" t="n">
        <f aca="false">N(G1501)-N(F1501)</f>
        <v>7</v>
      </c>
      <c r="I1501" s="13"/>
    </row>
    <row r="1502" customFormat="false" ht="15" hidden="false" customHeight="false" outlineLevel="0" collapsed="false">
      <c r="B1502" s="12" t="s">
        <v>52</v>
      </c>
      <c r="C1502" s="12" t="s">
        <v>274</v>
      </c>
      <c r="D1502" s="17" t="s">
        <v>275</v>
      </c>
      <c r="E1502" s="17" t="s">
        <v>68</v>
      </c>
      <c r="F1502" s="13" t="n">
        <v>0</v>
      </c>
      <c r="G1502" s="13" t="n">
        <v>0</v>
      </c>
      <c r="H1502" s="18" t="n">
        <f aca="false">N(G1502)-N(F1502)</f>
        <v>0</v>
      </c>
      <c r="I1502" s="13" t="n">
        <v>10</v>
      </c>
    </row>
    <row r="1503" customFormat="false" ht="15" hidden="false" customHeight="false" outlineLevel="0" collapsed="false">
      <c r="B1503" s="12" t="s">
        <v>52</v>
      </c>
      <c r="C1503" s="12" t="s">
        <v>234</v>
      </c>
      <c r="D1503" s="17" t="s">
        <v>235</v>
      </c>
      <c r="E1503" s="17"/>
      <c r="F1503" s="13" t="n">
        <v>0</v>
      </c>
      <c r="G1503" s="13" t="n">
        <v>6</v>
      </c>
      <c r="H1503" s="18" t="n">
        <f aca="false">N(G1503)-N(F1503)</f>
        <v>6</v>
      </c>
      <c r="I1503" s="13"/>
    </row>
    <row r="1504" customFormat="false" ht="15" hidden="false" customHeight="false" outlineLevel="0" collapsed="false">
      <c r="B1504" s="12" t="s">
        <v>52</v>
      </c>
      <c r="C1504" s="12" t="s">
        <v>70</v>
      </c>
      <c r="D1504" s="17" t="s">
        <v>71</v>
      </c>
      <c r="E1504" s="17" t="s">
        <v>68</v>
      </c>
      <c r="F1504" s="13" t="n">
        <v>230</v>
      </c>
      <c r="G1504" s="13" t="n">
        <v>149</v>
      </c>
      <c r="H1504" s="18" t="n">
        <f aca="false">N(G1504)-N(F1504)</f>
        <v>-81</v>
      </c>
      <c r="I1504" s="13" t="n">
        <v>230</v>
      </c>
    </row>
    <row r="1505" customFormat="false" ht="15" hidden="false" customHeight="false" outlineLevel="0" collapsed="false">
      <c r="B1505" s="12" t="s">
        <v>52</v>
      </c>
      <c r="C1505" s="12" t="s">
        <v>72</v>
      </c>
      <c r="D1505" s="17" t="s">
        <v>73</v>
      </c>
      <c r="E1505" s="17"/>
      <c r="F1505" s="13" t="n">
        <v>0</v>
      </c>
      <c r="G1505" s="13" t="n">
        <v>24</v>
      </c>
      <c r="H1505" s="18" t="n">
        <f aca="false">N(G1505)-N(F1505)</f>
        <v>24</v>
      </c>
      <c r="I1505" s="13"/>
    </row>
    <row r="1506" customFormat="false" ht="15" hidden="false" customHeight="false" outlineLevel="0" collapsed="false">
      <c r="B1506" s="12" t="s">
        <v>52</v>
      </c>
      <c r="C1506" s="12" t="s">
        <v>74</v>
      </c>
      <c r="D1506" s="17" t="s">
        <v>75</v>
      </c>
      <c r="E1506" s="17" t="s">
        <v>68</v>
      </c>
      <c r="F1506" s="13" t="n">
        <v>6</v>
      </c>
      <c r="G1506" s="13" t="n">
        <v>12</v>
      </c>
      <c r="H1506" s="18" t="n">
        <f aca="false">N(G1506)-N(F1506)</f>
        <v>6</v>
      </c>
      <c r="I1506" s="13" t="n">
        <v>6</v>
      </c>
    </row>
    <row r="1507" customFormat="false" ht="15" hidden="false" customHeight="false" outlineLevel="0" collapsed="false">
      <c r="B1507" s="12" t="s">
        <v>52</v>
      </c>
      <c r="C1507" s="12" t="s">
        <v>167</v>
      </c>
      <c r="D1507" s="17" t="s">
        <v>168</v>
      </c>
      <c r="E1507" s="17" t="s">
        <v>68</v>
      </c>
      <c r="F1507" s="13" t="n">
        <v>8</v>
      </c>
      <c r="G1507" s="13" t="n">
        <v>0</v>
      </c>
      <c r="H1507" s="18" t="n">
        <f aca="false">N(G1507)-N(F1507)</f>
        <v>-8</v>
      </c>
      <c r="I1507" s="13" t="n">
        <v>8</v>
      </c>
    </row>
    <row r="1508" customFormat="false" ht="15" hidden="false" customHeight="false" outlineLevel="0" collapsed="false">
      <c r="B1508" s="12" t="s">
        <v>52</v>
      </c>
      <c r="C1508" s="12" t="s">
        <v>76</v>
      </c>
      <c r="D1508" s="17" t="s">
        <v>77</v>
      </c>
      <c r="E1508" s="17"/>
      <c r="F1508" s="13" t="n">
        <v>26</v>
      </c>
      <c r="G1508" s="13" t="n">
        <v>34</v>
      </c>
      <c r="H1508" s="18" t="n">
        <f aca="false">N(G1508)-N(F1508)</f>
        <v>8</v>
      </c>
      <c r="I1508" s="13"/>
    </row>
    <row r="1509" customFormat="false" ht="15" hidden="false" customHeight="false" outlineLevel="0" collapsed="false">
      <c r="B1509" s="12" t="s">
        <v>52</v>
      </c>
      <c r="C1509" s="12" t="s">
        <v>78</v>
      </c>
      <c r="D1509" s="17" t="s">
        <v>79</v>
      </c>
      <c r="E1509" s="17" t="s">
        <v>68</v>
      </c>
      <c r="F1509" s="13" t="n">
        <v>126</v>
      </c>
      <c r="G1509" s="13" t="n">
        <v>107</v>
      </c>
      <c r="H1509" s="18" t="n">
        <f aca="false">N(G1509)-N(F1509)</f>
        <v>-19</v>
      </c>
      <c r="I1509" s="13" t="n">
        <v>142</v>
      </c>
    </row>
    <row r="1510" customFormat="false" ht="15" hidden="false" customHeight="false" outlineLevel="0" collapsed="false">
      <c r="B1510" s="12" t="s">
        <v>52</v>
      </c>
      <c r="C1510" s="12" t="s">
        <v>80</v>
      </c>
      <c r="D1510" s="17" t="s">
        <v>81</v>
      </c>
      <c r="E1510" s="17" t="s">
        <v>68</v>
      </c>
      <c r="F1510" s="13" t="n">
        <v>88</v>
      </c>
      <c r="G1510" s="13" t="n">
        <v>99</v>
      </c>
      <c r="H1510" s="18" t="n">
        <f aca="false">N(G1510)-N(F1510)</f>
        <v>11</v>
      </c>
      <c r="I1510" s="13" t="n">
        <v>88</v>
      </c>
    </row>
    <row r="1511" customFormat="false" ht="15" hidden="false" customHeight="false" outlineLevel="0" collapsed="false">
      <c r="B1511" s="12" t="s">
        <v>52</v>
      </c>
      <c r="C1511" s="12" t="s">
        <v>82</v>
      </c>
      <c r="D1511" s="17" t="s">
        <v>83</v>
      </c>
      <c r="E1511" s="17" t="s">
        <v>68</v>
      </c>
      <c r="F1511" s="13" t="n">
        <v>16</v>
      </c>
      <c r="G1511" s="13" t="n">
        <v>16</v>
      </c>
      <c r="H1511" s="18" t="n">
        <f aca="false">N(G1511)-N(F1511)</f>
        <v>0</v>
      </c>
      <c r="I1511" s="13" t="n">
        <v>16</v>
      </c>
    </row>
    <row r="1512" customFormat="false" ht="15" hidden="false" customHeight="false" outlineLevel="0" collapsed="false">
      <c r="B1512" s="12" t="s">
        <v>52</v>
      </c>
      <c r="C1512" s="12" t="s">
        <v>316</v>
      </c>
      <c r="D1512" s="17" t="s">
        <v>317</v>
      </c>
      <c r="E1512" s="17"/>
      <c r="F1512" s="13" t="n">
        <v>0</v>
      </c>
      <c r="G1512" s="13" t="n">
        <v>240</v>
      </c>
      <c r="H1512" s="18" t="n">
        <f aca="false">N(G1512)-N(F1512)</f>
        <v>240</v>
      </c>
      <c r="I1512" s="13"/>
    </row>
    <row r="1513" customFormat="false" ht="15" hidden="false" customHeight="false" outlineLevel="0" collapsed="false">
      <c r="B1513" s="12" t="s">
        <v>52</v>
      </c>
      <c r="C1513" s="12" t="s">
        <v>567</v>
      </c>
      <c r="D1513" s="17" t="s">
        <v>568</v>
      </c>
      <c r="E1513" s="17"/>
      <c r="F1513" s="13" t="n">
        <v>0</v>
      </c>
      <c r="G1513" s="13" t="n">
        <v>3</v>
      </c>
      <c r="H1513" s="18" t="n">
        <f aca="false">N(G1513)-N(F1513)</f>
        <v>3</v>
      </c>
      <c r="I1513" s="13"/>
    </row>
    <row r="1514" customFormat="false" ht="15" hidden="false" customHeight="false" outlineLevel="0" collapsed="false">
      <c r="B1514" s="12" t="s">
        <v>52</v>
      </c>
      <c r="C1514" s="12" t="s">
        <v>237</v>
      </c>
      <c r="D1514" s="17" t="s">
        <v>238</v>
      </c>
      <c r="E1514" s="17" t="s">
        <v>68</v>
      </c>
      <c r="F1514" s="13" t="n">
        <v>5</v>
      </c>
      <c r="G1514" s="13" t="n">
        <v>3</v>
      </c>
      <c r="H1514" s="18" t="n">
        <f aca="false">N(G1514)-N(F1514)</f>
        <v>-2</v>
      </c>
      <c r="I1514" s="13" t="n">
        <v>5</v>
      </c>
    </row>
    <row r="1515" customFormat="false" ht="15" hidden="false" customHeight="false" outlineLevel="0" collapsed="false">
      <c r="B1515" s="12" t="s">
        <v>52</v>
      </c>
      <c r="C1515" s="12" t="s">
        <v>84</v>
      </c>
      <c r="D1515" s="17" t="s">
        <v>85</v>
      </c>
      <c r="E1515" s="17" t="s">
        <v>68</v>
      </c>
      <c r="F1515" s="13" t="n">
        <v>4</v>
      </c>
      <c r="G1515" s="13" t="n">
        <v>0</v>
      </c>
      <c r="H1515" s="18" t="n">
        <f aca="false">N(G1515)-N(F1515)</f>
        <v>-4</v>
      </c>
      <c r="I1515" s="13" t="n">
        <v>4</v>
      </c>
    </row>
    <row r="1516" customFormat="false" ht="15" hidden="false" customHeight="false" outlineLevel="0" collapsed="false">
      <c r="B1516" s="12" t="s">
        <v>52</v>
      </c>
      <c r="C1516" s="12" t="s">
        <v>571</v>
      </c>
      <c r="D1516" s="17" t="s">
        <v>572</v>
      </c>
      <c r="E1516" s="17" t="s">
        <v>68</v>
      </c>
      <c r="F1516" s="13" t="n">
        <v>3</v>
      </c>
      <c r="G1516" s="13" t="n">
        <v>0</v>
      </c>
      <c r="H1516" s="18" t="n">
        <f aca="false">N(G1516)-N(F1516)</f>
        <v>-3</v>
      </c>
      <c r="I1516" s="13" t="n">
        <v>3</v>
      </c>
    </row>
    <row r="1517" customFormat="false" ht="15" hidden="false" customHeight="false" outlineLevel="0" collapsed="false">
      <c r="B1517" s="12" t="s">
        <v>52</v>
      </c>
      <c r="C1517" s="12" t="s">
        <v>86</v>
      </c>
      <c r="D1517" s="17" t="s">
        <v>87</v>
      </c>
      <c r="E1517" s="17"/>
      <c r="F1517" s="13" t="n">
        <v>0</v>
      </c>
      <c r="G1517" s="13" t="n">
        <v>28</v>
      </c>
      <c r="H1517" s="18" t="n">
        <f aca="false">N(G1517)-N(F1517)</f>
        <v>28</v>
      </c>
      <c r="I1517" s="13"/>
    </row>
    <row r="1518" customFormat="false" ht="15" hidden="false" customHeight="false" outlineLevel="0" collapsed="false">
      <c r="B1518" s="12" t="s">
        <v>52</v>
      </c>
      <c r="C1518" s="12" t="s">
        <v>132</v>
      </c>
      <c r="D1518" s="17" t="s">
        <v>133</v>
      </c>
      <c r="E1518" s="17"/>
      <c r="F1518" s="13" t="n">
        <v>0</v>
      </c>
      <c r="G1518" s="13" t="n">
        <v>6</v>
      </c>
      <c r="H1518" s="18" t="n">
        <f aca="false">N(G1518)-N(F1518)</f>
        <v>6</v>
      </c>
      <c r="I1518" s="13"/>
    </row>
    <row r="1519" customFormat="false" ht="15" hidden="false" customHeight="false" outlineLevel="0" collapsed="false">
      <c r="B1519" s="12" t="s">
        <v>52</v>
      </c>
      <c r="C1519" s="12" t="s">
        <v>294</v>
      </c>
      <c r="D1519" s="17" t="s">
        <v>295</v>
      </c>
      <c r="E1519" s="17"/>
      <c r="F1519" s="13" t="n">
        <v>6</v>
      </c>
      <c r="G1519" s="13" t="n">
        <v>0</v>
      </c>
      <c r="H1519" s="18" t="n">
        <f aca="false">N(G1519)-N(F1519)</f>
        <v>-6</v>
      </c>
      <c r="I1519" s="13"/>
    </row>
    <row r="1520" customFormat="false" ht="15" hidden="false" customHeight="false" outlineLevel="0" collapsed="false">
      <c r="B1520" s="12" t="s">
        <v>52</v>
      </c>
      <c r="C1520" s="12" t="s">
        <v>110</v>
      </c>
      <c r="D1520" s="17" t="s">
        <v>111</v>
      </c>
      <c r="E1520" s="17"/>
      <c r="F1520" s="13" t="n">
        <v>0</v>
      </c>
      <c r="G1520" s="13" t="n">
        <v>7</v>
      </c>
      <c r="H1520" s="18" t="n">
        <f aca="false">N(G1520)-N(F1520)</f>
        <v>7</v>
      </c>
      <c r="I1520" s="13"/>
    </row>
    <row r="1521" customFormat="false" ht="15" hidden="false" customHeight="false" outlineLevel="0" collapsed="false">
      <c r="B1521" s="12" t="s">
        <v>52</v>
      </c>
      <c r="C1521" s="12" t="s">
        <v>422</v>
      </c>
      <c r="D1521" s="17" t="s">
        <v>423</v>
      </c>
      <c r="E1521" s="17"/>
      <c r="F1521" s="13" t="n">
        <v>0</v>
      </c>
      <c r="G1521" s="13" t="n">
        <v>6</v>
      </c>
      <c r="H1521" s="18" t="n">
        <f aca="false">N(G1521)-N(F1521)</f>
        <v>6</v>
      </c>
      <c r="I1521" s="13"/>
    </row>
    <row r="1522" customFormat="false" ht="15" hidden="false" customHeight="false" outlineLevel="0" collapsed="false">
      <c r="B1522" s="12" t="s">
        <v>52</v>
      </c>
      <c r="C1522" s="12" t="s">
        <v>135</v>
      </c>
      <c r="D1522" s="17" t="s">
        <v>136</v>
      </c>
      <c r="E1522" s="17"/>
      <c r="F1522" s="13" t="n">
        <v>0</v>
      </c>
      <c r="G1522" s="13" t="n">
        <v>48</v>
      </c>
      <c r="H1522" s="18" t="n">
        <f aca="false">N(G1522)-N(F1522)</f>
        <v>48</v>
      </c>
      <c r="I1522" s="13"/>
    </row>
    <row r="1523" customFormat="false" ht="15" hidden="false" customHeight="false" outlineLevel="0" collapsed="false">
      <c r="B1523" s="12" t="s">
        <v>52</v>
      </c>
      <c r="C1523" s="12" t="s">
        <v>395</v>
      </c>
      <c r="D1523" s="17" t="s">
        <v>396</v>
      </c>
      <c r="E1523" s="17" t="s">
        <v>68</v>
      </c>
      <c r="F1523" s="13" t="n">
        <v>0</v>
      </c>
      <c r="G1523" s="13" t="n">
        <v>1</v>
      </c>
      <c r="H1523" s="18" t="n">
        <f aca="false">N(G1523)-N(F1523)</f>
        <v>1</v>
      </c>
      <c r="I1523" s="13" t="n">
        <v>1</v>
      </c>
    </row>
    <row r="1524" customFormat="false" ht="15" hidden="false" customHeight="false" outlineLevel="0" collapsed="false">
      <c r="B1524" s="12" t="s">
        <v>52</v>
      </c>
      <c r="C1524" s="12" t="s">
        <v>170</v>
      </c>
      <c r="D1524" s="17" t="s">
        <v>171</v>
      </c>
      <c r="E1524" s="17"/>
      <c r="F1524" s="13" t="n">
        <v>0</v>
      </c>
      <c r="G1524" s="13" t="n">
        <v>12</v>
      </c>
      <c r="H1524" s="18" t="n">
        <f aca="false">N(G1524)-N(F1524)</f>
        <v>12</v>
      </c>
      <c r="I1524" s="13"/>
    </row>
    <row r="1525" customFormat="false" ht="15" hidden="false" customHeight="false" outlineLevel="0" collapsed="false">
      <c r="B1525" s="12" t="s">
        <v>52</v>
      </c>
      <c r="C1525" s="12" t="s">
        <v>88</v>
      </c>
      <c r="D1525" s="17" t="s">
        <v>89</v>
      </c>
      <c r="E1525" s="17" t="s">
        <v>68</v>
      </c>
      <c r="F1525" s="13" t="n">
        <v>115</v>
      </c>
      <c r="G1525" s="13" t="n">
        <v>79</v>
      </c>
      <c r="H1525" s="18" t="n">
        <f aca="false">N(G1525)-N(F1525)</f>
        <v>-36</v>
      </c>
      <c r="I1525" s="13" t="n">
        <v>115</v>
      </c>
    </row>
    <row r="1526" customFormat="false" ht="15" hidden="false" customHeight="false" outlineLevel="0" collapsed="false">
      <c r="B1526" s="12" t="s">
        <v>52</v>
      </c>
      <c r="C1526" s="12" t="s">
        <v>90</v>
      </c>
      <c r="D1526" s="17" t="s">
        <v>91</v>
      </c>
      <c r="E1526" s="17" t="s">
        <v>68</v>
      </c>
      <c r="F1526" s="13" t="n">
        <v>12</v>
      </c>
      <c r="G1526" s="13" t="n">
        <v>9</v>
      </c>
      <c r="H1526" s="18" t="n">
        <f aca="false">N(G1526)-N(F1526)</f>
        <v>-3</v>
      </c>
      <c r="I1526" s="13" t="n">
        <v>12</v>
      </c>
    </row>
    <row r="1527" customFormat="false" ht="15" hidden="false" customHeight="false" outlineLevel="0" collapsed="false">
      <c r="B1527" s="12" t="s">
        <v>52</v>
      </c>
      <c r="C1527" s="12" t="s">
        <v>583</v>
      </c>
      <c r="D1527" s="17" t="s">
        <v>584</v>
      </c>
      <c r="E1527" s="17" t="s">
        <v>68</v>
      </c>
      <c r="F1527" s="13" t="n">
        <v>12</v>
      </c>
      <c r="G1527" s="13" t="n">
        <v>12</v>
      </c>
      <c r="H1527" s="18" t="n">
        <f aca="false">N(G1527)-N(F1527)</f>
        <v>0</v>
      </c>
      <c r="I1527" s="13" t="n">
        <v>12</v>
      </c>
    </row>
    <row r="1528" customFormat="false" ht="15" hidden="false" customHeight="false" outlineLevel="0" collapsed="false">
      <c r="B1528" s="12" t="s">
        <v>52</v>
      </c>
      <c r="C1528" s="12" t="s">
        <v>322</v>
      </c>
      <c r="D1528" s="17" t="s">
        <v>323</v>
      </c>
      <c r="E1528" s="17"/>
      <c r="F1528" s="13" t="n">
        <v>450</v>
      </c>
      <c r="G1528" s="13" t="n">
        <v>6</v>
      </c>
      <c r="H1528" s="18" t="n">
        <f aca="false">N(G1528)-N(F1528)</f>
        <v>-444</v>
      </c>
      <c r="I1528" s="13"/>
    </row>
    <row r="1529" customFormat="false" ht="15" hidden="false" customHeight="false" outlineLevel="0" collapsed="false">
      <c r="B1529" s="12" t="s">
        <v>52</v>
      </c>
      <c r="C1529" s="12" t="s">
        <v>92</v>
      </c>
      <c r="D1529" s="17" t="s">
        <v>93</v>
      </c>
      <c r="E1529" s="17"/>
      <c r="F1529" s="13" t="n">
        <v>0</v>
      </c>
      <c r="G1529" s="13" t="n">
        <v>426</v>
      </c>
      <c r="H1529" s="18" t="n">
        <f aca="false">N(G1529)-N(F1529)</f>
        <v>426</v>
      </c>
      <c r="I1529" s="13"/>
    </row>
    <row r="1530" customFormat="false" ht="15" hidden="false" customHeight="false" outlineLevel="0" collapsed="false">
      <c r="B1530" s="12" t="s">
        <v>52</v>
      </c>
      <c r="C1530" s="12" t="s">
        <v>585</v>
      </c>
      <c r="D1530" s="17" t="s">
        <v>586</v>
      </c>
      <c r="E1530" s="17"/>
      <c r="F1530" s="13" t="n">
        <v>0</v>
      </c>
      <c r="G1530" s="13" t="n">
        <v>6</v>
      </c>
      <c r="H1530" s="18" t="n">
        <f aca="false">N(G1530)-N(F1530)</f>
        <v>6</v>
      </c>
      <c r="I1530" s="13"/>
    </row>
    <row r="1531" customFormat="false" ht="15" hidden="false" customHeight="false" outlineLevel="0" collapsed="false">
      <c r="B1531" s="12" t="s">
        <v>52</v>
      </c>
      <c r="C1531" s="12" t="s">
        <v>95</v>
      </c>
      <c r="D1531" s="17" t="s">
        <v>96</v>
      </c>
      <c r="E1531" s="17"/>
      <c r="F1531" s="13" t="n">
        <v>4</v>
      </c>
      <c r="G1531" s="13" t="n">
        <v>4</v>
      </c>
      <c r="H1531" s="18" t="n">
        <f aca="false">N(G1531)-N(F1531)</f>
        <v>0</v>
      </c>
      <c r="I1531" s="13"/>
    </row>
    <row r="1532" customFormat="false" ht="15" hidden="false" customHeight="false" outlineLevel="0" collapsed="false">
      <c r="B1532" s="12" t="s">
        <v>52</v>
      </c>
      <c r="C1532" s="12" t="s">
        <v>97</v>
      </c>
      <c r="D1532" s="17" t="s">
        <v>98</v>
      </c>
      <c r="E1532" s="17" t="s">
        <v>68</v>
      </c>
      <c r="F1532" s="13" t="n">
        <v>26</v>
      </c>
      <c r="G1532" s="13" t="n">
        <v>41</v>
      </c>
      <c r="H1532" s="18" t="n">
        <f aca="false">N(G1532)-N(F1532)</f>
        <v>15</v>
      </c>
      <c r="I1532" s="13" t="n">
        <v>26</v>
      </c>
    </row>
    <row r="1533" customFormat="false" ht="15" hidden="false" customHeight="false" outlineLevel="0" collapsed="false">
      <c r="B1533" s="12" t="s">
        <v>52</v>
      </c>
      <c r="C1533" s="12" t="s">
        <v>398</v>
      </c>
      <c r="D1533" s="17" t="s">
        <v>399</v>
      </c>
      <c r="E1533" s="17"/>
      <c r="F1533" s="13" t="n">
        <v>20</v>
      </c>
      <c r="G1533" s="13" t="n">
        <v>18</v>
      </c>
      <c r="H1533" s="18" t="n">
        <f aca="false">N(G1533)-N(F1533)</f>
        <v>-2</v>
      </c>
      <c r="I1533" s="13"/>
    </row>
    <row r="1534" customFormat="false" ht="15" hidden="false" customHeight="false" outlineLevel="0" collapsed="false">
      <c r="B1534" s="12" t="s">
        <v>52</v>
      </c>
      <c r="C1534" s="12" t="s">
        <v>454</v>
      </c>
      <c r="D1534" s="17" t="s">
        <v>455</v>
      </c>
      <c r="E1534" s="17"/>
      <c r="F1534" s="13" t="n">
        <v>0</v>
      </c>
      <c r="G1534" s="13" t="n">
        <v>10</v>
      </c>
      <c r="H1534" s="18" t="n">
        <f aca="false">N(G1534)-N(F1534)</f>
        <v>10</v>
      </c>
      <c r="I1534" s="13"/>
    </row>
    <row r="1535" customFormat="false" ht="15" hidden="false" customHeight="false" outlineLevel="0" collapsed="false">
      <c r="B1535" s="12" t="s">
        <v>52</v>
      </c>
      <c r="C1535" s="12" t="s">
        <v>327</v>
      </c>
      <c r="D1535" s="17" t="s">
        <v>328</v>
      </c>
      <c r="E1535" s="17" t="s">
        <v>68</v>
      </c>
      <c r="F1535" s="13" t="n">
        <v>12</v>
      </c>
      <c r="G1535" s="13" t="n">
        <v>12</v>
      </c>
      <c r="H1535" s="18" t="n">
        <f aca="false">N(G1535)-N(F1535)</f>
        <v>0</v>
      </c>
      <c r="I1535" s="13" t="n">
        <v>12</v>
      </c>
    </row>
    <row r="1536" customFormat="false" ht="15" hidden="false" customHeight="false" outlineLevel="0" collapsed="false">
      <c r="B1536" s="12" t="s">
        <v>52</v>
      </c>
      <c r="C1536" s="12" t="s">
        <v>201</v>
      </c>
      <c r="D1536" s="17" t="s">
        <v>202</v>
      </c>
      <c r="E1536" s="17"/>
      <c r="F1536" s="13" t="n">
        <v>0</v>
      </c>
      <c r="G1536" s="13" t="n">
        <v>6</v>
      </c>
      <c r="H1536" s="18" t="n">
        <f aca="false">N(G1536)-N(F1536)</f>
        <v>6</v>
      </c>
      <c r="I1536" s="13"/>
    </row>
    <row r="1537" customFormat="false" ht="15" hidden="false" customHeight="false" outlineLevel="0" collapsed="false">
      <c r="B1537" s="12" t="s">
        <v>52</v>
      </c>
      <c r="C1537" s="12" t="s">
        <v>138</v>
      </c>
      <c r="D1537" s="17" t="s">
        <v>139</v>
      </c>
      <c r="E1537" s="17" t="s">
        <v>68</v>
      </c>
      <c r="F1537" s="13" t="n">
        <v>6</v>
      </c>
      <c r="G1537" s="13" t="n">
        <v>0</v>
      </c>
      <c r="H1537" s="18" t="n">
        <f aca="false">N(G1537)-N(F1537)</f>
        <v>-6</v>
      </c>
      <c r="I1537" s="13" t="n">
        <v>6</v>
      </c>
    </row>
    <row r="1538" customFormat="false" ht="15" hidden="false" customHeight="false" outlineLevel="0" collapsed="false">
      <c r="B1538" s="12" t="s">
        <v>52</v>
      </c>
      <c r="C1538" s="12" t="s">
        <v>302</v>
      </c>
      <c r="D1538" s="17" t="s">
        <v>133</v>
      </c>
      <c r="E1538" s="17"/>
      <c r="F1538" s="13" t="n">
        <v>35</v>
      </c>
      <c r="G1538" s="13" t="n">
        <v>0</v>
      </c>
      <c r="H1538" s="18" t="n">
        <f aca="false">N(G1538)-N(F1538)</f>
        <v>-35</v>
      </c>
      <c r="I1538" s="13"/>
    </row>
    <row r="1539" customFormat="false" ht="15" hidden="false" customHeight="false" outlineLevel="0" collapsed="false">
      <c r="B1539" s="12" t="s">
        <v>52</v>
      </c>
      <c r="C1539" s="12" t="s">
        <v>518</v>
      </c>
      <c r="D1539" s="17" t="s">
        <v>133</v>
      </c>
      <c r="E1539" s="17"/>
      <c r="F1539" s="13" t="n">
        <v>0</v>
      </c>
      <c r="G1539" s="13" t="n">
        <v>25</v>
      </c>
      <c r="H1539" s="18" t="n">
        <f aca="false">N(G1539)-N(F1539)</f>
        <v>25</v>
      </c>
      <c r="I1539" s="13"/>
    </row>
    <row r="1540" customFormat="false" ht="15" hidden="false" customHeight="false" outlineLevel="0" collapsed="false">
      <c r="B1540" s="12" t="s">
        <v>52</v>
      </c>
      <c r="C1540" s="12" t="s">
        <v>113</v>
      </c>
      <c r="D1540" s="17" t="s">
        <v>114</v>
      </c>
      <c r="E1540" s="17" t="s">
        <v>68</v>
      </c>
      <c r="F1540" s="13" t="n">
        <v>105</v>
      </c>
      <c r="G1540" s="13" t="n">
        <v>63</v>
      </c>
      <c r="H1540" s="18" t="n">
        <f aca="false">N(G1540)-N(F1540)</f>
        <v>-42</v>
      </c>
      <c r="I1540" s="13" t="n">
        <v>105</v>
      </c>
    </row>
    <row r="1541" customFormat="false" ht="15" hidden="false" customHeight="false" outlineLevel="0" collapsed="false">
      <c r="B1541" s="12" t="s">
        <v>52</v>
      </c>
      <c r="C1541" s="12" t="s">
        <v>115</v>
      </c>
      <c r="D1541" s="17" t="s">
        <v>116</v>
      </c>
      <c r="E1541" s="17" t="s">
        <v>68</v>
      </c>
      <c r="F1541" s="13" t="n">
        <v>12</v>
      </c>
      <c r="G1541" s="13" t="n">
        <v>0</v>
      </c>
      <c r="H1541" s="18" t="n">
        <f aca="false">N(G1541)-N(F1541)</f>
        <v>-12</v>
      </c>
      <c r="I1541" s="13" t="n">
        <v>12</v>
      </c>
    </row>
    <row r="1542" customFormat="false" ht="15" hidden="false" customHeight="false" outlineLevel="0" collapsed="false">
      <c r="B1542" s="12" t="s">
        <v>52</v>
      </c>
      <c r="C1542" s="12" t="s">
        <v>118</v>
      </c>
      <c r="D1542" s="17" t="s">
        <v>119</v>
      </c>
      <c r="E1542" s="17"/>
      <c r="F1542" s="13" t="n">
        <v>30</v>
      </c>
      <c r="G1542" s="13" t="n">
        <v>25</v>
      </c>
      <c r="H1542" s="18" t="n">
        <f aca="false">N(G1542)-N(F1542)</f>
        <v>-5</v>
      </c>
      <c r="I1542" s="13"/>
    </row>
    <row r="1543" customFormat="false" ht="15" hidden="false" customHeight="false" outlineLevel="0" collapsed="false">
      <c r="B1543" s="12" t="s">
        <v>52</v>
      </c>
      <c r="C1543" s="12" t="s">
        <v>334</v>
      </c>
      <c r="D1543" s="17" t="s">
        <v>335</v>
      </c>
      <c r="E1543" s="17"/>
      <c r="F1543" s="13" t="n">
        <v>50</v>
      </c>
      <c r="G1543" s="13" t="n">
        <v>24</v>
      </c>
      <c r="H1543" s="18" t="n">
        <f aca="false">N(G1543)-N(F1543)</f>
        <v>-26</v>
      </c>
      <c r="I1543" s="13"/>
    </row>
    <row r="1544" customFormat="false" ht="15" hidden="false" customHeight="false" outlineLevel="0" collapsed="false">
      <c r="B1544" s="12" t="s">
        <v>52</v>
      </c>
      <c r="C1544" s="12" t="s">
        <v>597</v>
      </c>
      <c r="D1544" s="17" t="s">
        <v>598</v>
      </c>
      <c r="E1544" s="17"/>
      <c r="F1544" s="13" t="n">
        <v>0</v>
      </c>
      <c r="G1544" s="13" t="n">
        <v>150</v>
      </c>
      <c r="H1544" s="18" t="n">
        <f aca="false">N(G1544)-N(F1544)</f>
        <v>150</v>
      </c>
      <c r="I1544" s="13"/>
    </row>
    <row r="1545" customFormat="false" ht="15" hidden="false" customHeight="false" outlineLevel="0" collapsed="false">
      <c r="B1545" s="12" t="s">
        <v>52</v>
      </c>
      <c r="C1545" s="12" t="s">
        <v>204</v>
      </c>
      <c r="D1545" s="17" t="s">
        <v>205</v>
      </c>
      <c r="E1545" s="17" t="s">
        <v>68</v>
      </c>
      <c r="F1545" s="13" t="n">
        <v>9</v>
      </c>
      <c r="G1545" s="13" t="n">
        <v>9</v>
      </c>
      <c r="H1545" s="18" t="n">
        <f aca="false">N(G1545)-N(F1545)</f>
        <v>0</v>
      </c>
      <c r="I1545" s="13" t="n">
        <v>9</v>
      </c>
    </row>
    <row r="1546" customFormat="false" ht="15" hidden="false" customHeight="false" outlineLevel="0" collapsed="false">
      <c r="B1546" s="12" t="s">
        <v>52</v>
      </c>
      <c r="C1546" s="12" t="s">
        <v>99</v>
      </c>
      <c r="D1546" s="17" t="s">
        <v>100</v>
      </c>
      <c r="E1546" s="17" t="s">
        <v>68</v>
      </c>
      <c r="F1546" s="13" t="n">
        <v>39</v>
      </c>
      <c r="G1546" s="13" t="n">
        <v>41</v>
      </c>
      <c r="H1546" s="18" t="n">
        <f aca="false">N(G1546)-N(F1546)</f>
        <v>2</v>
      </c>
      <c r="I1546" s="13" t="n">
        <v>39</v>
      </c>
    </row>
    <row r="1547" customFormat="false" ht="15" hidden="false" customHeight="false" outlineLevel="0" collapsed="false">
      <c r="B1547" s="12" t="s">
        <v>52</v>
      </c>
      <c r="C1547" s="12" t="s">
        <v>599</v>
      </c>
      <c r="D1547" s="17" t="s">
        <v>600</v>
      </c>
      <c r="E1547" s="17"/>
      <c r="F1547" s="13" t="n">
        <v>0</v>
      </c>
      <c r="G1547" s="13" t="n">
        <v>2</v>
      </c>
      <c r="H1547" s="18" t="n">
        <f aca="false">N(G1547)-N(F1547)</f>
        <v>2</v>
      </c>
      <c r="I1547" s="13"/>
    </row>
    <row r="1548" customFormat="false" ht="15" hidden="false" customHeight="false" outlineLevel="0" collapsed="false">
      <c r="B1548" s="12" t="s">
        <v>52</v>
      </c>
      <c r="C1548" s="12" t="s">
        <v>601</v>
      </c>
      <c r="D1548" s="17" t="s">
        <v>602</v>
      </c>
      <c r="E1548" s="17"/>
      <c r="F1548" s="13" t="n">
        <v>0</v>
      </c>
      <c r="G1548" s="13" t="n">
        <v>18</v>
      </c>
      <c r="H1548" s="18" t="n">
        <f aca="false">N(G1548)-N(F1548)</f>
        <v>18</v>
      </c>
      <c r="I1548" s="13"/>
    </row>
    <row r="1549" customFormat="false" ht="15" hidden="false" customHeight="false" outlineLevel="0" collapsed="false">
      <c r="B1549" s="12" t="s">
        <v>52</v>
      </c>
      <c r="C1549" s="12" t="s">
        <v>173</v>
      </c>
      <c r="D1549" s="17" t="s">
        <v>174</v>
      </c>
      <c r="E1549" s="17" t="s">
        <v>68</v>
      </c>
      <c r="F1549" s="13" t="n">
        <v>6</v>
      </c>
      <c r="G1549" s="13" t="n">
        <v>0</v>
      </c>
      <c r="H1549" s="18" t="n">
        <f aca="false">N(G1549)-N(F1549)</f>
        <v>-6</v>
      </c>
      <c r="I1549" s="13" t="n">
        <v>6</v>
      </c>
    </row>
    <row r="1550" customFormat="false" ht="15" hidden="false" customHeight="false" outlineLevel="0" collapsed="false">
      <c r="B1550" s="12" t="s">
        <v>52</v>
      </c>
      <c r="C1550" s="12" t="s">
        <v>101</v>
      </c>
      <c r="D1550" s="17" t="s">
        <v>102</v>
      </c>
      <c r="E1550" s="17" t="s">
        <v>68</v>
      </c>
      <c r="F1550" s="13" t="n">
        <v>0</v>
      </c>
      <c r="G1550" s="13" t="n">
        <v>18</v>
      </c>
      <c r="H1550" s="18" t="n">
        <f aca="false">N(G1550)-N(F1550)</f>
        <v>18</v>
      </c>
      <c r="I1550" s="13" t="n">
        <v>50</v>
      </c>
    </row>
    <row r="1551" customFormat="false" ht="15" hidden="false" customHeight="false" outlineLevel="0" collapsed="false">
      <c r="B1551" s="12" t="s">
        <v>52</v>
      </c>
      <c r="C1551" s="12" t="s">
        <v>463</v>
      </c>
      <c r="D1551" s="17" t="s">
        <v>464</v>
      </c>
      <c r="E1551" s="17"/>
      <c r="F1551" s="13" t="n">
        <v>0</v>
      </c>
      <c r="G1551" s="13" t="n">
        <v>6</v>
      </c>
      <c r="H1551" s="18" t="n">
        <f aca="false">N(G1551)-N(F1551)</f>
        <v>6</v>
      </c>
      <c r="I1551" s="13"/>
    </row>
    <row r="1552" customFormat="false" ht="15" hidden="false" customHeight="false" outlineLevel="0" collapsed="false">
      <c r="B1552" s="12" t="s">
        <v>52</v>
      </c>
      <c r="C1552" s="12" t="s">
        <v>121</v>
      </c>
      <c r="D1552" s="17" t="s">
        <v>122</v>
      </c>
      <c r="E1552" s="17" t="s">
        <v>68</v>
      </c>
      <c r="F1552" s="13" t="n">
        <v>15</v>
      </c>
      <c r="G1552" s="13" t="n">
        <v>16</v>
      </c>
      <c r="H1552" s="18" t="n">
        <f aca="false">N(G1552)-N(F1552)</f>
        <v>1</v>
      </c>
      <c r="I1552" s="13" t="n">
        <v>15</v>
      </c>
    </row>
    <row r="1553" customFormat="false" ht="15" hidden="false" customHeight="false" outlineLevel="0" collapsed="false">
      <c r="B1553" s="12" t="s">
        <v>52</v>
      </c>
      <c r="C1553" s="12" t="s">
        <v>245</v>
      </c>
      <c r="D1553" s="17" t="s">
        <v>246</v>
      </c>
      <c r="E1553" s="17" t="s">
        <v>68</v>
      </c>
      <c r="F1553" s="13" t="n">
        <v>20</v>
      </c>
      <c r="G1553" s="13" t="n">
        <v>21</v>
      </c>
      <c r="H1553" s="18" t="n">
        <f aca="false">N(G1553)-N(F1553)</f>
        <v>1</v>
      </c>
      <c r="I1553" s="13" t="n">
        <v>20</v>
      </c>
    </row>
    <row r="1554" customFormat="false" ht="15" hidden="false" customHeight="false" outlineLevel="0" collapsed="false">
      <c r="B1554" s="12" t="s">
        <v>52</v>
      </c>
      <c r="C1554" s="12" t="s">
        <v>141</v>
      </c>
      <c r="D1554" s="17" t="s">
        <v>142</v>
      </c>
      <c r="E1554" s="17"/>
      <c r="F1554" s="13" t="n">
        <v>0</v>
      </c>
      <c r="G1554" s="13" t="n">
        <v>9</v>
      </c>
      <c r="H1554" s="18" t="n">
        <f aca="false">N(G1554)-N(F1554)</f>
        <v>9</v>
      </c>
      <c r="I1554" s="13"/>
    </row>
    <row r="1555" customFormat="false" ht="15" hidden="false" customHeight="false" outlineLevel="0" collapsed="false">
      <c r="B1555" s="12" t="s">
        <v>52</v>
      </c>
      <c r="C1555" s="12" t="s">
        <v>207</v>
      </c>
      <c r="D1555" s="17" t="s">
        <v>208</v>
      </c>
      <c r="E1555" s="17" t="s">
        <v>68</v>
      </c>
      <c r="F1555" s="13" t="n">
        <v>6</v>
      </c>
      <c r="G1555" s="13" t="n">
        <v>0</v>
      </c>
      <c r="H1555" s="18" t="n">
        <f aca="false">N(G1555)-N(F1555)</f>
        <v>-6</v>
      </c>
      <c r="I1555" s="13" t="n">
        <v>6</v>
      </c>
    </row>
    <row r="1556" customFormat="false" ht="15" hidden="false" customHeight="false" outlineLevel="0" collapsed="false">
      <c r="B1556" s="12" t="s">
        <v>52</v>
      </c>
      <c r="C1556" s="12" t="s">
        <v>248</v>
      </c>
      <c r="D1556" s="17" t="s">
        <v>133</v>
      </c>
      <c r="E1556" s="17" t="s">
        <v>68</v>
      </c>
      <c r="F1556" s="13" t="n">
        <v>10</v>
      </c>
      <c r="G1556" s="13" t="n">
        <v>0</v>
      </c>
      <c r="H1556" s="18" t="n">
        <f aca="false">N(G1556)-N(F1556)</f>
        <v>-10</v>
      </c>
      <c r="I1556" s="13" t="n">
        <v>10</v>
      </c>
    </row>
    <row r="1557" customFormat="false" ht="15" hidden="false" customHeight="false" outlineLevel="0" collapsed="false">
      <c r="B1557" s="12" t="s">
        <v>52</v>
      </c>
      <c r="C1557" s="12" t="s">
        <v>606</v>
      </c>
      <c r="D1557" s="17" t="s">
        <v>607</v>
      </c>
      <c r="E1557" s="17"/>
      <c r="F1557" s="13" t="n">
        <v>0</v>
      </c>
      <c r="G1557" s="13" t="n">
        <v>1</v>
      </c>
      <c r="H1557" s="18" t="n">
        <f aca="false">N(G1557)-N(F1557)</f>
        <v>1</v>
      </c>
      <c r="I1557" s="13"/>
    </row>
    <row r="1558" customFormat="false" ht="15" hidden="false" customHeight="false" outlineLevel="0" collapsed="false">
      <c r="B1558" s="12" t="s">
        <v>52</v>
      </c>
      <c r="C1558" s="12" t="s">
        <v>210</v>
      </c>
      <c r="D1558" s="17" t="s">
        <v>211</v>
      </c>
      <c r="E1558" s="17" t="s">
        <v>68</v>
      </c>
      <c r="F1558" s="13" t="n">
        <v>9</v>
      </c>
      <c r="G1558" s="13" t="n">
        <v>9</v>
      </c>
      <c r="H1558" s="18" t="n">
        <f aca="false">N(G1558)-N(F1558)</f>
        <v>0</v>
      </c>
      <c r="I1558" s="13" t="n">
        <v>9</v>
      </c>
    </row>
    <row r="1559" customFormat="false" ht="15" hidden="false" customHeight="false" outlineLevel="0" collapsed="false">
      <c r="B1559" s="12" t="s">
        <v>52</v>
      </c>
      <c r="C1559" s="12" t="s">
        <v>176</v>
      </c>
      <c r="D1559" s="17" t="s">
        <v>177</v>
      </c>
      <c r="E1559" s="17" t="s">
        <v>68</v>
      </c>
      <c r="F1559" s="13" t="n">
        <v>6</v>
      </c>
      <c r="G1559" s="13" t="n">
        <v>0</v>
      </c>
      <c r="H1559" s="18" t="n">
        <f aca="false">N(G1559)-N(F1559)</f>
        <v>-6</v>
      </c>
      <c r="I1559" s="13" t="n">
        <v>6</v>
      </c>
    </row>
    <row r="1560" customFormat="false" ht="15" hidden="false" customHeight="false" outlineLevel="0" collapsed="false">
      <c r="B1560" s="12" t="s">
        <v>52</v>
      </c>
      <c r="C1560" s="12" t="s">
        <v>103</v>
      </c>
      <c r="D1560" s="17" t="s">
        <v>104</v>
      </c>
      <c r="E1560" s="17" t="s">
        <v>68</v>
      </c>
      <c r="F1560" s="13" t="n">
        <v>46</v>
      </c>
      <c r="G1560" s="13" t="n">
        <v>57</v>
      </c>
      <c r="H1560" s="18" t="n">
        <f aca="false">N(G1560)-N(F1560)</f>
        <v>11</v>
      </c>
      <c r="I1560" s="13" t="n">
        <v>46</v>
      </c>
    </row>
    <row r="1561" customFormat="false" ht="15" hidden="false" customHeight="false" outlineLevel="0" collapsed="false">
      <c r="B1561" s="12" t="s">
        <v>52</v>
      </c>
      <c r="C1561" s="12" t="s">
        <v>179</v>
      </c>
      <c r="D1561" s="17" t="s">
        <v>180</v>
      </c>
      <c r="E1561" s="17" t="s">
        <v>68</v>
      </c>
      <c r="F1561" s="13" t="n">
        <v>4</v>
      </c>
      <c r="G1561" s="13" t="n">
        <v>0</v>
      </c>
      <c r="H1561" s="18" t="n">
        <f aca="false">N(G1561)-N(F1561)</f>
        <v>-4</v>
      </c>
      <c r="I1561" s="13" t="n">
        <v>4</v>
      </c>
    </row>
    <row r="1562" customFormat="false" ht="15" hidden="false" customHeight="false" outlineLevel="0" collapsed="false">
      <c r="B1562" s="12" t="s">
        <v>52</v>
      </c>
      <c r="C1562" s="12" t="s">
        <v>143</v>
      </c>
      <c r="D1562" s="17" t="s">
        <v>144</v>
      </c>
      <c r="E1562" s="17" t="s">
        <v>68</v>
      </c>
      <c r="F1562" s="13" t="n">
        <v>4</v>
      </c>
      <c r="G1562" s="13" t="n">
        <v>4</v>
      </c>
      <c r="H1562" s="18" t="n">
        <f aca="false">N(G1562)-N(F1562)</f>
        <v>0</v>
      </c>
      <c r="I1562" s="13" t="n">
        <v>4</v>
      </c>
    </row>
    <row r="1563" customFormat="false" ht="15" hidden="false" customHeight="false" outlineLevel="0" collapsed="false">
      <c r="B1563" s="12" t="s">
        <v>52</v>
      </c>
      <c r="C1563" s="12" t="s">
        <v>146</v>
      </c>
      <c r="D1563" s="17" t="s">
        <v>147</v>
      </c>
      <c r="E1563" s="17" t="s">
        <v>68</v>
      </c>
      <c r="F1563" s="13" t="n">
        <v>9</v>
      </c>
      <c r="G1563" s="13" t="n">
        <v>8</v>
      </c>
      <c r="H1563" s="18" t="n">
        <f aca="false">N(G1563)-N(F1563)</f>
        <v>-1</v>
      </c>
      <c r="I1563" s="13" t="n">
        <v>9</v>
      </c>
    </row>
    <row r="1564" customFormat="false" ht="15" hidden="false" customHeight="false" outlineLevel="0" collapsed="false">
      <c r="B1564" s="12" t="s">
        <v>52</v>
      </c>
      <c r="C1564" s="12" t="s">
        <v>182</v>
      </c>
      <c r="D1564" s="17" t="s">
        <v>183</v>
      </c>
      <c r="E1564" s="17" t="s">
        <v>68</v>
      </c>
      <c r="F1564" s="13" t="n">
        <v>12</v>
      </c>
      <c r="G1564" s="13" t="n">
        <v>0</v>
      </c>
      <c r="H1564" s="18" t="n">
        <f aca="false">N(G1564)-N(F1564)</f>
        <v>-12</v>
      </c>
      <c r="I1564" s="13" t="n">
        <v>12</v>
      </c>
    </row>
    <row r="1565" customFormat="false" ht="15" hidden="false" customHeight="false" outlineLevel="0" collapsed="false">
      <c r="B1565" s="12" t="s">
        <v>52</v>
      </c>
      <c r="C1565" s="12" t="s">
        <v>148</v>
      </c>
      <c r="D1565" s="17" t="s">
        <v>149</v>
      </c>
      <c r="E1565" s="17" t="s">
        <v>68</v>
      </c>
      <c r="F1565" s="13" t="n">
        <v>50</v>
      </c>
      <c r="G1565" s="13" t="n">
        <v>74</v>
      </c>
      <c r="H1565" s="18" t="n">
        <f aca="false">N(G1565)-N(F1565)</f>
        <v>24</v>
      </c>
      <c r="I1565" s="13" t="n">
        <v>50</v>
      </c>
    </row>
    <row r="1566" customFormat="false" ht="15" hidden="false" customHeight="false" outlineLevel="0" collapsed="false">
      <c r="B1566" s="12" t="s">
        <v>52</v>
      </c>
      <c r="C1566" s="12" t="s">
        <v>345</v>
      </c>
      <c r="D1566" s="17" t="s">
        <v>346</v>
      </c>
      <c r="E1566" s="17"/>
      <c r="F1566" s="13" t="n">
        <v>0</v>
      </c>
      <c r="G1566" s="13" t="n">
        <v>48</v>
      </c>
      <c r="H1566" s="18" t="n">
        <f aca="false">N(G1566)-N(F1566)</f>
        <v>48</v>
      </c>
      <c r="I1566" s="13"/>
    </row>
    <row r="1567" customFormat="false" ht="15" hidden="false" customHeight="false" outlineLevel="0" collapsed="false">
      <c r="B1567" s="12" t="s">
        <v>52</v>
      </c>
      <c r="C1567" s="12" t="s">
        <v>347</v>
      </c>
      <c r="D1567" s="17" t="s">
        <v>348</v>
      </c>
      <c r="E1567" s="17"/>
      <c r="F1567" s="13" t="n">
        <v>200</v>
      </c>
      <c r="G1567" s="13" t="n">
        <v>164</v>
      </c>
      <c r="H1567" s="18" t="n">
        <f aca="false">N(G1567)-N(F1567)</f>
        <v>-36</v>
      </c>
      <c r="I1567" s="13"/>
    </row>
    <row r="1568" customFormat="false" ht="15" hidden="false" customHeight="false" outlineLevel="0" collapsed="false">
      <c r="B1568" s="12" t="s">
        <v>52</v>
      </c>
      <c r="C1568" s="12" t="s">
        <v>123</v>
      </c>
      <c r="D1568" s="17" t="s">
        <v>124</v>
      </c>
      <c r="E1568" s="17"/>
      <c r="F1568" s="13" t="n">
        <v>450</v>
      </c>
      <c r="G1568" s="13" t="n">
        <v>300</v>
      </c>
      <c r="H1568" s="18" t="n">
        <f aca="false">N(G1568)-N(F1568)</f>
        <v>-150</v>
      </c>
      <c r="I1568" s="13"/>
    </row>
    <row r="1569" customFormat="false" ht="15" hidden="false" customHeight="false" outlineLevel="0" collapsed="false">
      <c r="B1569" s="12" t="s">
        <v>52</v>
      </c>
      <c r="C1569" s="12" t="s">
        <v>352</v>
      </c>
      <c r="D1569" s="17" t="s">
        <v>353</v>
      </c>
      <c r="E1569" s="17" t="s">
        <v>68</v>
      </c>
      <c r="F1569" s="13" t="n">
        <v>50</v>
      </c>
      <c r="G1569" s="13" t="n">
        <v>48</v>
      </c>
      <c r="H1569" s="18" t="n">
        <f aca="false">N(G1569)-N(F1569)</f>
        <v>-2</v>
      </c>
      <c r="I1569" s="13" t="n">
        <v>50</v>
      </c>
    </row>
    <row r="1570" customFormat="false" ht="15" hidden="false" customHeight="false" outlineLevel="0" collapsed="false">
      <c r="B1570" s="12" t="s">
        <v>52</v>
      </c>
      <c r="C1570" s="12" t="s">
        <v>105</v>
      </c>
      <c r="D1570" s="17" t="s">
        <v>106</v>
      </c>
      <c r="E1570" s="17" t="s">
        <v>68</v>
      </c>
      <c r="F1570" s="13" t="n">
        <v>12</v>
      </c>
      <c r="G1570" s="13" t="n">
        <v>16</v>
      </c>
      <c r="H1570" s="18" t="n">
        <f aca="false">N(G1570)-N(F1570)</f>
        <v>4</v>
      </c>
      <c r="I1570" s="13" t="n">
        <v>12</v>
      </c>
    </row>
    <row r="1571" customFormat="false" ht="15" hidden="false" customHeight="false" outlineLevel="0" collapsed="false">
      <c r="B1571" s="12" t="s">
        <v>52</v>
      </c>
      <c r="C1571" s="12" t="s">
        <v>107</v>
      </c>
      <c r="D1571" s="17" t="s">
        <v>108</v>
      </c>
      <c r="E1571" s="17"/>
      <c r="F1571" s="13" t="n">
        <v>0</v>
      </c>
      <c r="G1571" s="13" t="n">
        <v>6</v>
      </c>
      <c r="H1571" s="18" t="n">
        <f aca="false">N(G1571)-N(F1571)</f>
        <v>6</v>
      </c>
      <c r="I1571" s="13"/>
    </row>
    <row r="1572" customFormat="false" ht="15" hidden="false" customHeight="false" outlineLevel="0" collapsed="false">
      <c r="B1572" s="12" t="s">
        <v>52</v>
      </c>
      <c r="C1572" s="12" t="s">
        <v>307</v>
      </c>
      <c r="D1572" s="17" t="s">
        <v>308</v>
      </c>
      <c r="E1572" s="17" t="s">
        <v>68</v>
      </c>
      <c r="F1572" s="13" t="n">
        <v>3</v>
      </c>
      <c r="G1572" s="13" t="n">
        <v>0</v>
      </c>
      <c r="H1572" s="18" t="n">
        <f aca="false">N(G1572)-N(F1572)</f>
        <v>-3</v>
      </c>
      <c r="I1572" s="13" t="n">
        <v>3</v>
      </c>
    </row>
    <row r="1573" customFormat="false" ht="15" hidden="false" customHeight="false" outlineLevel="0" collapsed="false">
      <c r="B1573" s="12" t="s">
        <v>52</v>
      </c>
      <c r="C1573" s="12" t="s">
        <v>375</v>
      </c>
      <c r="D1573" s="17" t="s">
        <v>376</v>
      </c>
      <c r="E1573" s="17" t="s">
        <v>68</v>
      </c>
      <c r="F1573" s="13" t="n">
        <v>20</v>
      </c>
      <c r="G1573" s="13" t="n">
        <v>24</v>
      </c>
      <c r="H1573" s="18" t="n">
        <f aca="false">N(G1573)-N(F1573)</f>
        <v>4</v>
      </c>
      <c r="I1573" s="13" t="n">
        <v>20</v>
      </c>
    </row>
    <row r="1574" customFormat="false" ht="15" hidden="false" customHeight="false" outlineLevel="0" collapsed="false">
      <c r="B1574" s="12" t="s">
        <v>52</v>
      </c>
      <c r="C1574" s="12" t="s">
        <v>534</v>
      </c>
      <c r="D1574" s="17" t="s">
        <v>535</v>
      </c>
      <c r="E1574" s="17" t="s">
        <v>68</v>
      </c>
      <c r="F1574" s="13" t="n">
        <v>6</v>
      </c>
      <c r="G1574" s="13" t="n">
        <v>6</v>
      </c>
      <c r="H1574" s="18" t="n">
        <f aca="false">N(G1574)-N(F1574)</f>
        <v>0</v>
      </c>
      <c r="I1574" s="13" t="n">
        <v>6</v>
      </c>
    </row>
    <row r="1575" customFormat="false" ht="15" hidden="false" customHeight="false" outlineLevel="0" collapsed="false">
      <c r="B1575" s="12" t="s">
        <v>52</v>
      </c>
      <c r="C1575" s="12" t="s">
        <v>537</v>
      </c>
      <c r="D1575" s="17" t="s">
        <v>538</v>
      </c>
      <c r="E1575" s="17" t="s">
        <v>68</v>
      </c>
      <c r="F1575" s="13" t="n">
        <v>1</v>
      </c>
      <c r="G1575" s="13" t="n">
        <v>1</v>
      </c>
      <c r="H1575" s="18" t="n">
        <f aca="false">N(G1575)-N(F1575)</f>
        <v>0</v>
      </c>
      <c r="I1575" s="13" t="n">
        <v>2</v>
      </c>
    </row>
    <row r="1576" customFormat="false" ht="15" hidden="false" customHeight="false" outlineLevel="0" collapsed="false">
      <c r="B1576" s="12" t="s">
        <v>52</v>
      </c>
      <c r="C1576" s="12" t="s">
        <v>150</v>
      </c>
      <c r="D1576" s="17" t="s">
        <v>151</v>
      </c>
      <c r="E1576" s="17"/>
      <c r="F1576" s="13" t="n">
        <v>0</v>
      </c>
      <c r="G1576" s="13" t="n">
        <v>19</v>
      </c>
      <c r="H1576" s="18" t="n">
        <f aca="false">N(G1576)-N(F1576)</f>
        <v>19</v>
      </c>
      <c r="I1576" s="13"/>
    </row>
    <row r="1577" customFormat="false" ht="15" hidden="false" customHeight="false" outlineLevel="0" collapsed="false">
      <c r="B1577" s="12" t="s">
        <v>52</v>
      </c>
      <c r="C1577" s="12" t="s">
        <v>184</v>
      </c>
      <c r="D1577" s="17" t="s">
        <v>185</v>
      </c>
      <c r="E1577" s="17" t="s">
        <v>68</v>
      </c>
      <c r="F1577" s="13" t="n">
        <v>9</v>
      </c>
      <c r="G1577" s="13" t="n">
        <v>0</v>
      </c>
      <c r="H1577" s="18" t="n">
        <f aca="false">N(G1577)-N(F1577)</f>
        <v>-9</v>
      </c>
      <c r="I1577" s="13" t="n">
        <v>9</v>
      </c>
    </row>
    <row r="1578" customFormat="false" ht="15" hidden="false" customHeight="false" outlineLevel="0" collapsed="false">
      <c r="B1578" s="12" t="s">
        <v>52</v>
      </c>
      <c r="C1578" s="12" t="s">
        <v>252</v>
      </c>
      <c r="D1578" s="17" t="s">
        <v>253</v>
      </c>
      <c r="E1578" s="17"/>
      <c r="F1578" s="13" t="n">
        <v>0</v>
      </c>
      <c r="G1578" s="13" t="n">
        <v>6</v>
      </c>
      <c r="H1578" s="18" t="n">
        <f aca="false">N(G1578)-N(F1578)</f>
        <v>6</v>
      </c>
      <c r="I1578" s="13"/>
    </row>
    <row r="1579" customFormat="false" ht="15" hidden="false" customHeight="false" outlineLevel="0" collapsed="false">
      <c r="B1579" s="12" t="s">
        <v>52</v>
      </c>
      <c r="C1579" s="12" t="s">
        <v>152</v>
      </c>
      <c r="D1579" s="17" t="s">
        <v>153</v>
      </c>
      <c r="E1579" s="17"/>
      <c r="F1579" s="13" t="n">
        <v>0</v>
      </c>
      <c r="G1579" s="13" t="n">
        <v>63</v>
      </c>
      <c r="H1579" s="18" t="n">
        <f aca="false">N(G1579)-N(F1579)</f>
        <v>63</v>
      </c>
      <c r="I1579" s="13"/>
    </row>
    <row r="1580" customFormat="false" ht="15" hidden="false" customHeight="false" outlineLevel="0" collapsed="false">
      <c r="B1580" s="12" t="s">
        <v>52</v>
      </c>
      <c r="C1580" s="12" t="s">
        <v>155</v>
      </c>
      <c r="D1580" s="17" t="s">
        <v>156</v>
      </c>
      <c r="E1580" s="17" t="s">
        <v>68</v>
      </c>
      <c r="F1580" s="13" t="n">
        <v>8</v>
      </c>
      <c r="G1580" s="13" t="n">
        <v>8</v>
      </c>
      <c r="H1580" s="18" t="n">
        <f aca="false">N(G1580)-N(F1580)</f>
        <v>0</v>
      </c>
      <c r="I1580" s="13" t="n">
        <v>8</v>
      </c>
    </row>
    <row r="1581" customFormat="false" ht="15" hidden="false" customHeight="false" outlineLevel="0" collapsed="false">
      <c r="B1581" s="12" t="s">
        <v>52</v>
      </c>
      <c r="C1581" s="12" t="s">
        <v>255</v>
      </c>
      <c r="D1581" s="17" t="s">
        <v>256</v>
      </c>
      <c r="E1581" s="17" t="s">
        <v>94</v>
      </c>
      <c r="F1581" s="13" t="n">
        <v>17640</v>
      </c>
      <c r="G1581" s="13" t="n">
        <v>16773</v>
      </c>
      <c r="H1581" s="18" t="n">
        <f aca="false">N(G1581)-N(F1581)</f>
        <v>-867</v>
      </c>
      <c r="I1581" s="13" t="n">
        <v>17708.9588</v>
      </c>
    </row>
    <row r="1582" customFormat="false" ht="15" hidden="false" customHeight="false" outlineLevel="0" collapsed="false">
      <c r="B1582" s="12" t="s">
        <v>52</v>
      </c>
      <c r="C1582" s="12" t="s">
        <v>157</v>
      </c>
      <c r="D1582" s="17" t="s">
        <v>158</v>
      </c>
      <c r="E1582" s="17" t="s">
        <v>68</v>
      </c>
      <c r="F1582" s="13" t="n">
        <v>105</v>
      </c>
      <c r="G1582" s="13" t="n">
        <v>63</v>
      </c>
      <c r="H1582" s="18" t="n">
        <f aca="false">N(G1582)-N(F1582)</f>
        <v>-42</v>
      </c>
      <c r="I1582" s="13" t="n">
        <v>105</v>
      </c>
    </row>
    <row r="1583" customFormat="false" ht="15" hidden="false" customHeight="false" outlineLevel="0" collapsed="false">
      <c r="B1583" s="12" t="s">
        <v>52</v>
      </c>
      <c r="C1583" s="12" t="s">
        <v>218</v>
      </c>
      <c r="D1583" s="17" t="s">
        <v>219</v>
      </c>
      <c r="E1583" s="17" t="s">
        <v>68</v>
      </c>
      <c r="F1583" s="13" t="n">
        <v>5</v>
      </c>
      <c r="G1583" s="13" t="n">
        <v>5</v>
      </c>
      <c r="H1583" s="18" t="n">
        <f aca="false">N(G1583)-N(F1583)</f>
        <v>0</v>
      </c>
      <c r="I1583" s="13" t="n">
        <v>5</v>
      </c>
    </row>
    <row r="1584" customFormat="false" ht="15" hidden="false" customHeight="false" outlineLevel="0" collapsed="false">
      <c r="B1584" s="12" t="s">
        <v>52</v>
      </c>
      <c r="C1584" s="12" t="s">
        <v>159</v>
      </c>
      <c r="D1584" s="17" t="s">
        <v>160</v>
      </c>
      <c r="E1584" s="17" t="s">
        <v>68</v>
      </c>
      <c r="F1584" s="13" t="n">
        <v>8</v>
      </c>
      <c r="G1584" s="13" t="n">
        <v>8</v>
      </c>
      <c r="H1584" s="18" t="n">
        <f aca="false">N(G1584)-N(F1584)</f>
        <v>0</v>
      </c>
      <c r="I1584" s="13" t="n">
        <v>8</v>
      </c>
    </row>
    <row r="1585" customFormat="false" ht="15" hidden="false" customHeight="false" outlineLevel="0" collapsed="false">
      <c r="B1585" s="12" t="s">
        <v>52</v>
      </c>
      <c r="C1585" s="12" t="s">
        <v>437</v>
      </c>
      <c r="D1585" s="17" t="s">
        <v>438</v>
      </c>
      <c r="E1585" s="17"/>
      <c r="F1585" s="13" t="n">
        <v>0</v>
      </c>
      <c r="G1585" s="13" t="n">
        <v>1</v>
      </c>
      <c r="H1585" s="18" t="n">
        <f aca="false">N(G1585)-N(F1585)</f>
        <v>1</v>
      </c>
      <c r="I1585" s="13"/>
    </row>
    <row r="1586" customFormat="false" ht="15" hidden="false" customHeight="false" outlineLevel="0" collapsed="false">
      <c r="B1586" s="12" t="s">
        <v>52</v>
      </c>
      <c r="C1586" s="12" t="s">
        <v>125</v>
      </c>
      <c r="D1586" s="17" t="s">
        <v>126</v>
      </c>
      <c r="E1586" s="17" t="s">
        <v>68</v>
      </c>
      <c r="F1586" s="13" t="n">
        <v>9</v>
      </c>
      <c r="G1586" s="13" t="n">
        <v>6</v>
      </c>
      <c r="H1586" s="18" t="n">
        <f aca="false">N(G1586)-N(F1586)</f>
        <v>-3</v>
      </c>
      <c r="I1586" s="13" t="n">
        <v>9</v>
      </c>
    </row>
    <row r="1587" customFormat="false" ht="15" hidden="false" customHeight="false" outlineLevel="0" collapsed="false">
      <c r="B1587" s="12" t="s">
        <v>52</v>
      </c>
      <c r="C1587" s="12" t="s">
        <v>127</v>
      </c>
      <c r="D1587" s="17" t="s">
        <v>128</v>
      </c>
      <c r="E1587" s="17"/>
      <c r="F1587" s="13" t="n">
        <v>10</v>
      </c>
      <c r="G1587" s="13" t="n">
        <v>6</v>
      </c>
      <c r="H1587" s="18" t="n">
        <f aca="false">N(G1587)-N(F1587)</f>
        <v>-4</v>
      </c>
      <c r="I1587" s="13"/>
    </row>
    <row r="1588" customFormat="false" ht="15" hidden="false" customHeight="false" outlineLevel="0" collapsed="false">
      <c r="B1588" s="12" t="s">
        <v>52</v>
      </c>
      <c r="C1588" s="12" t="s">
        <v>161</v>
      </c>
      <c r="D1588" s="17" t="s">
        <v>162</v>
      </c>
      <c r="E1588" s="17" t="s">
        <v>94</v>
      </c>
      <c r="F1588" s="13" t="n">
        <v>0</v>
      </c>
      <c r="G1588" s="13" t="n">
        <v>0</v>
      </c>
      <c r="H1588" s="18" t="n">
        <f aca="false">N(G1588)-N(F1588)</f>
        <v>0</v>
      </c>
      <c r="I1588" s="13" t="n">
        <v>372.3404</v>
      </c>
    </row>
    <row r="1589" customFormat="false" ht="15" hidden="false" customHeight="false" outlineLevel="0" collapsed="false">
      <c r="B1589" s="12" t="s">
        <v>52</v>
      </c>
      <c r="C1589" s="12" t="s">
        <v>661</v>
      </c>
      <c r="D1589" s="17" t="s">
        <v>662</v>
      </c>
      <c r="E1589" s="17"/>
      <c r="F1589" s="13" t="n">
        <v>3</v>
      </c>
      <c r="G1589" s="13" t="n">
        <v>0</v>
      </c>
      <c r="H1589" s="18" t="n">
        <f aca="false">N(G1589)-N(F1589)</f>
        <v>-3</v>
      </c>
      <c r="I1589" s="13"/>
    </row>
    <row r="1590" customFormat="false" ht="15" hidden="false" customHeight="false" outlineLevel="0" collapsed="false">
      <c r="B1590" s="12" t="s">
        <v>52</v>
      </c>
      <c r="C1590" s="12" t="s">
        <v>263</v>
      </c>
      <c r="D1590" s="17" t="s">
        <v>264</v>
      </c>
      <c r="E1590" s="17" t="s">
        <v>68</v>
      </c>
      <c r="F1590" s="13" t="n">
        <v>2</v>
      </c>
      <c r="G1590" s="13" t="n">
        <v>2</v>
      </c>
      <c r="H1590" s="18" t="n">
        <f aca="false">N(G1590)-N(F1590)</f>
        <v>0</v>
      </c>
      <c r="I1590" s="13" t="n">
        <v>2</v>
      </c>
    </row>
    <row r="1591" customFormat="false" ht="15" hidden="false" customHeight="false" outlineLevel="0" collapsed="false">
      <c r="B1591" s="12" t="s">
        <v>52</v>
      </c>
      <c r="C1591" s="12" t="s">
        <v>670</v>
      </c>
      <c r="D1591" s="17" t="s">
        <v>671</v>
      </c>
      <c r="E1591" s="17" t="s">
        <v>68</v>
      </c>
      <c r="F1591" s="13" t="n">
        <v>3</v>
      </c>
      <c r="G1591" s="13" t="n">
        <v>3</v>
      </c>
      <c r="H1591" s="18" t="n">
        <f aca="false">N(G1591)-N(F1591)</f>
        <v>0</v>
      </c>
      <c r="I1591" s="13" t="n">
        <v>3</v>
      </c>
    </row>
    <row r="1592" customFormat="false" ht="15" hidden="false" customHeight="false" outlineLevel="0" collapsed="false">
      <c r="B1592" s="12" t="s">
        <v>52</v>
      </c>
      <c r="C1592" s="12" t="s">
        <v>226</v>
      </c>
      <c r="D1592" s="17" t="s">
        <v>227</v>
      </c>
      <c r="E1592" s="17" t="s">
        <v>68</v>
      </c>
      <c r="F1592" s="13" t="n">
        <v>0</v>
      </c>
      <c r="G1592" s="13" t="n">
        <v>2</v>
      </c>
      <c r="H1592" s="18" t="n">
        <f aca="false">N(G1592)-N(F1592)</f>
        <v>2</v>
      </c>
      <c r="I1592" s="13" t="n">
        <v>2</v>
      </c>
    </row>
    <row r="1593" customFormat="false" ht="15" hidden="false" customHeight="false" outlineLevel="0" collapsed="false">
      <c r="B1593" s="12" t="s">
        <v>52</v>
      </c>
      <c r="C1593" s="12" t="s">
        <v>280</v>
      </c>
      <c r="D1593" s="17" t="s">
        <v>227</v>
      </c>
      <c r="E1593" s="17"/>
      <c r="F1593" s="13" t="n">
        <v>2</v>
      </c>
      <c r="G1593" s="13" t="n">
        <v>0</v>
      </c>
      <c r="H1593" s="18" t="n">
        <f aca="false">N(G1593)-N(F1593)</f>
        <v>-2</v>
      </c>
      <c r="I1593" s="13"/>
    </row>
    <row r="1594" customFormat="false" ht="15" hidden="false" customHeight="false" outlineLevel="0" collapsed="false">
      <c r="B1594" s="3" t="s">
        <v>674</v>
      </c>
      <c r="C1594" s="3" t="n">
        <f aca="false">COUNTA(C6:C1593)</f>
        <v>1588</v>
      </c>
    </row>
  </sheetData>
  <autoFilter ref="B5:I15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2"/>
    <col collapsed="false" customWidth="true" hidden="false" outlineLevel="0" max="4" min="4" style="0" width="8"/>
    <col collapsed="false" customWidth="true" hidden="false" outlineLevel="0" max="6" min="5" style="0" width="16"/>
    <col collapsed="false" customWidth="true" hidden="false" outlineLevel="0" max="7" min="7" style="0" width="26"/>
    <col collapsed="false" customWidth="true" hidden="false" outlineLevel="0" max="8" min="8" style="0" width="20"/>
    <col collapsed="false" customWidth="true" hidden="false" outlineLevel="0" max="9" min="9" style="0" width="24"/>
  </cols>
  <sheetData>
    <row r="2" customFormat="false" ht="16.15" hidden="false" customHeight="false" outlineLevel="0" collapsed="false">
      <c r="B2" s="10" t="s">
        <v>677</v>
      </c>
    </row>
    <row r="3" customFormat="false" ht="39.75" hidden="false" customHeight="true" outlineLevel="0" collapsed="false">
      <c r="B3" s="16" t="s">
        <v>678</v>
      </c>
      <c r="C3" s="16"/>
      <c r="D3" s="16"/>
      <c r="E3" s="16"/>
      <c r="F3" s="16"/>
      <c r="G3" s="16"/>
      <c r="H3" s="16"/>
      <c r="I3" s="16"/>
    </row>
    <row r="5" customFormat="false" ht="23.85" hidden="false" customHeight="false" outlineLevel="0" collapsed="false">
      <c r="B5" s="11" t="s">
        <v>58</v>
      </c>
      <c r="C5" s="11" t="s">
        <v>61</v>
      </c>
      <c r="D5" s="11" t="s">
        <v>59</v>
      </c>
      <c r="E5" s="11" t="s">
        <v>679</v>
      </c>
      <c r="F5" s="11" t="s">
        <v>680</v>
      </c>
      <c r="G5" s="11" t="s">
        <v>681</v>
      </c>
      <c r="H5" s="11" t="s">
        <v>65</v>
      </c>
      <c r="I5" s="11" t="s">
        <v>682</v>
      </c>
    </row>
    <row r="6" customFormat="false" ht="15" hidden="false" customHeight="false" outlineLevel="0" collapsed="false">
      <c r="B6" s="17" t="s">
        <v>683</v>
      </c>
      <c r="C6" s="13" t="n">
        <v>309</v>
      </c>
      <c r="D6" s="17" t="s">
        <v>68</v>
      </c>
      <c r="E6" s="13"/>
      <c r="F6" s="12" t="s">
        <v>101</v>
      </c>
      <c r="G6" s="17" t="s">
        <v>684</v>
      </c>
      <c r="H6" s="17" t="s">
        <v>685</v>
      </c>
      <c r="I6" s="20"/>
    </row>
    <row r="7" customFormat="false" ht="15" hidden="false" customHeight="false" outlineLevel="0" collapsed="false">
      <c r="B7" s="17" t="s">
        <v>686</v>
      </c>
      <c r="C7" s="13" t="n">
        <v>3050</v>
      </c>
      <c r="D7" s="17"/>
      <c r="E7" s="13"/>
      <c r="F7" s="12" t="s">
        <v>107</v>
      </c>
      <c r="G7" s="17" t="s">
        <v>687</v>
      </c>
      <c r="H7" s="17" t="s">
        <v>685</v>
      </c>
      <c r="I7" s="20"/>
    </row>
    <row r="8" customFormat="false" ht="15" hidden="false" customHeight="false" outlineLevel="0" collapsed="false">
      <c r="B8" s="17" t="s">
        <v>688</v>
      </c>
      <c r="C8" s="13" t="n">
        <v>2915</v>
      </c>
      <c r="D8" s="17"/>
      <c r="E8" s="13"/>
      <c r="F8" s="12" t="s">
        <v>107</v>
      </c>
      <c r="G8" s="17" t="s">
        <v>687</v>
      </c>
      <c r="H8" s="17" t="s">
        <v>685</v>
      </c>
      <c r="I8" s="20"/>
    </row>
    <row r="9" customFormat="false" ht="15" hidden="false" customHeight="false" outlineLevel="0" collapsed="false">
      <c r="B9" s="17" t="s">
        <v>689</v>
      </c>
      <c r="C9" s="13" t="n">
        <v>83</v>
      </c>
      <c r="D9" s="17" t="s">
        <v>68</v>
      </c>
      <c r="E9" s="13"/>
      <c r="F9" s="12" t="s">
        <v>215</v>
      </c>
      <c r="G9" s="17" t="s">
        <v>690</v>
      </c>
      <c r="H9" s="17" t="s">
        <v>217</v>
      </c>
      <c r="I9" s="20"/>
    </row>
    <row r="10" customFormat="false" ht="15" hidden="false" customHeight="false" outlineLevel="0" collapsed="false">
      <c r="B10" s="17" t="s">
        <v>691</v>
      </c>
      <c r="C10" s="13" t="n">
        <v>5000</v>
      </c>
      <c r="D10" s="17" t="s">
        <v>94</v>
      </c>
      <c r="E10" s="13"/>
      <c r="F10" s="12" t="s">
        <v>161</v>
      </c>
      <c r="G10" s="17" t="s">
        <v>692</v>
      </c>
      <c r="H10" s="17" t="s">
        <v>693</v>
      </c>
      <c r="I10" s="20"/>
    </row>
    <row r="11" customFormat="false" ht="15" hidden="false" customHeight="false" outlineLevel="0" collapsed="false">
      <c r="B11" s="17" t="s">
        <v>694</v>
      </c>
      <c r="C11" s="13" t="n">
        <v>10305</v>
      </c>
      <c r="D11" s="17"/>
      <c r="E11" s="13"/>
      <c r="F11" s="12" t="s">
        <v>135</v>
      </c>
      <c r="G11" s="17" t="s">
        <v>695</v>
      </c>
      <c r="H11" s="17" t="s">
        <v>696</v>
      </c>
      <c r="I11" s="20"/>
    </row>
    <row r="12" customFormat="false" ht="15" hidden="false" customHeight="false" outlineLevel="0" collapsed="false">
      <c r="B12" s="17" t="s">
        <v>697</v>
      </c>
      <c r="C12" s="13" t="n">
        <v>345</v>
      </c>
      <c r="D12" s="17"/>
      <c r="E12" s="13"/>
      <c r="F12" s="12" t="s">
        <v>123</v>
      </c>
      <c r="G12" s="17" t="s">
        <v>698</v>
      </c>
      <c r="H12" s="17" t="s">
        <v>696</v>
      </c>
      <c r="I12" s="20"/>
    </row>
    <row r="13" customFormat="false" ht="15" hidden="false" customHeight="false" outlineLevel="0" collapsed="false">
      <c r="B13" s="17" t="s">
        <v>699</v>
      </c>
      <c r="C13" s="13"/>
      <c r="D13" s="17" t="s">
        <v>94</v>
      </c>
      <c r="E13" s="13" t="n">
        <v>5192.8333</v>
      </c>
      <c r="F13" s="12" t="s">
        <v>92</v>
      </c>
      <c r="G13" s="17" t="s">
        <v>700</v>
      </c>
      <c r="H13" s="17" t="s">
        <v>701</v>
      </c>
      <c r="I13" s="20"/>
    </row>
    <row r="14" customFormat="false" ht="15" hidden="false" customHeight="false" outlineLevel="0" collapsed="false">
      <c r="B14" s="17" t="s">
        <v>702</v>
      </c>
      <c r="C14" s="13" t="n">
        <v>84</v>
      </c>
      <c r="D14" s="17" t="s">
        <v>68</v>
      </c>
      <c r="E14" s="13" t="n">
        <v>84</v>
      </c>
      <c r="F14" s="12" t="s">
        <v>361</v>
      </c>
      <c r="G14" s="17" t="s">
        <v>703</v>
      </c>
      <c r="H14" s="17" t="s">
        <v>363</v>
      </c>
      <c r="I14" s="20"/>
    </row>
    <row r="15" customFormat="false" ht="15" hidden="false" customHeight="false" outlineLevel="0" collapsed="false">
      <c r="B15" s="17" t="s">
        <v>704</v>
      </c>
      <c r="C15" s="13" t="n">
        <v>5575</v>
      </c>
      <c r="D15" s="17"/>
      <c r="E15" s="13"/>
      <c r="F15" s="12" t="s">
        <v>291</v>
      </c>
      <c r="G15" s="17" t="s">
        <v>705</v>
      </c>
      <c r="H15" s="17" t="s">
        <v>706</v>
      </c>
      <c r="I15" s="20"/>
    </row>
    <row r="16" customFormat="false" ht="15" hidden="false" customHeight="false" outlineLevel="0" collapsed="false">
      <c r="B16" s="17" t="s">
        <v>707</v>
      </c>
      <c r="C16" s="13" t="n">
        <v>310</v>
      </c>
      <c r="D16" s="17"/>
      <c r="E16" s="13"/>
      <c r="F16" s="12" t="s">
        <v>187</v>
      </c>
      <c r="G16" s="17" t="s">
        <v>698</v>
      </c>
      <c r="H16" s="17" t="s">
        <v>708</v>
      </c>
      <c r="I16" s="20"/>
    </row>
    <row r="17" customFormat="false" ht="15" hidden="false" customHeight="false" outlineLevel="0" collapsed="false">
      <c r="B17" s="17" t="s">
        <v>709</v>
      </c>
      <c r="C17" s="13" t="n">
        <v>26</v>
      </c>
      <c r="D17" s="17" t="s">
        <v>68</v>
      </c>
      <c r="E17" s="13"/>
      <c r="F17" s="12" t="s">
        <v>319</v>
      </c>
      <c r="G17" s="17" t="s">
        <v>690</v>
      </c>
      <c r="H17" s="17" t="s">
        <v>710</v>
      </c>
      <c r="I17" s="20"/>
    </row>
    <row r="18" customFormat="false" ht="15" hidden="false" customHeight="false" outlineLevel="0" collapsed="false">
      <c r="B18" s="17" t="s">
        <v>711</v>
      </c>
      <c r="C18" s="13" t="n">
        <v>7</v>
      </c>
      <c r="D18" s="17" t="s">
        <v>68</v>
      </c>
      <c r="E18" s="13"/>
      <c r="F18" s="12" t="s">
        <v>395</v>
      </c>
      <c r="G18" s="17" t="s">
        <v>690</v>
      </c>
      <c r="H18" s="17" t="s">
        <v>397</v>
      </c>
      <c r="I18" s="20"/>
    </row>
    <row r="19" customFormat="false" ht="15" hidden="false" customHeight="false" outlineLevel="0" collapsed="false">
      <c r="B19" s="17" t="s">
        <v>712</v>
      </c>
      <c r="C19" s="13" t="n">
        <v>8150</v>
      </c>
      <c r="D19" s="17"/>
      <c r="E19" s="13"/>
      <c r="F19" s="12" t="s">
        <v>92</v>
      </c>
      <c r="G19" s="17" t="s">
        <v>713</v>
      </c>
      <c r="H19" s="17" t="s">
        <v>714</v>
      </c>
      <c r="I19" s="20"/>
    </row>
    <row r="20" customFormat="false" ht="15" hidden="false" customHeight="false" outlineLevel="0" collapsed="false">
      <c r="B20" s="17" t="s">
        <v>715</v>
      </c>
      <c r="C20" s="13" t="n">
        <v>90</v>
      </c>
      <c r="D20" s="17"/>
      <c r="E20" s="13"/>
      <c r="F20" s="12" t="s">
        <v>86</v>
      </c>
      <c r="G20" s="17" t="s">
        <v>716</v>
      </c>
      <c r="H20" s="17" t="s">
        <v>717</v>
      </c>
      <c r="I20" s="20"/>
    </row>
    <row r="21" customFormat="false" ht="15" hidden="false" customHeight="false" outlineLevel="0" collapsed="false">
      <c r="B21" s="17" t="s">
        <v>718</v>
      </c>
      <c r="C21" s="13" t="n">
        <v>212</v>
      </c>
      <c r="D21" s="17"/>
      <c r="E21" s="13"/>
      <c r="F21" s="12" t="s">
        <v>559</v>
      </c>
      <c r="G21" s="17" t="s">
        <v>719</v>
      </c>
      <c r="H21" s="17" t="s">
        <v>720</v>
      </c>
      <c r="I21" s="20"/>
    </row>
    <row r="22" customFormat="false" ht="15" hidden="false" customHeight="false" outlineLevel="0" collapsed="false">
      <c r="B22" s="17" t="s">
        <v>721</v>
      </c>
      <c r="C22" s="13" t="n">
        <v>14</v>
      </c>
      <c r="D22" s="17" t="s">
        <v>68</v>
      </c>
      <c r="E22" s="13" t="n">
        <v>3</v>
      </c>
      <c r="F22" s="12" t="s">
        <v>401</v>
      </c>
      <c r="G22" s="17" t="s">
        <v>690</v>
      </c>
      <c r="H22" s="17" t="s">
        <v>722</v>
      </c>
      <c r="I22" s="20"/>
    </row>
    <row r="23" customFormat="false" ht="15" hidden="false" customHeight="false" outlineLevel="0" collapsed="false">
      <c r="B23" s="17" t="s">
        <v>723</v>
      </c>
      <c r="C23" s="13" t="n">
        <v>43</v>
      </c>
      <c r="D23" s="17" t="s">
        <v>68</v>
      </c>
      <c r="E23" s="13"/>
      <c r="F23" s="12" t="s">
        <v>389</v>
      </c>
      <c r="G23" s="17" t="s">
        <v>724</v>
      </c>
      <c r="H23" s="17" t="s">
        <v>725</v>
      </c>
      <c r="I23" s="20"/>
    </row>
    <row r="24" customFormat="false" ht="15" hidden="false" customHeight="false" outlineLevel="0" collapsed="false">
      <c r="B24" s="17" t="s">
        <v>726</v>
      </c>
      <c r="C24" s="13"/>
      <c r="D24" s="17" t="s">
        <v>68</v>
      </c>
      <c r="E24" s="13" t="n">
        <v>147</v>
      </c>
      <c r="F24" s="12" t="s">
        <v>97</v>
      </c>
      <c r="G24" s="17" t="s">
        <v>727</v>
      </c>
      <c r="H24" s="17" t="s">
        <v>728</v>
      </c>
      <c r="I24" s="20"/>
    </row>
    <row r="25" customFormat="false" ht="15" hidden="false" customHeight="false" outlineLevel="0" collapsed="false">
      <c r="B25" s="17" t="s">
        <v>729</v>
      </c>
      <c r="C25" s="13" t="n">
        <v>36</v>
      </c>
      <c r="D25" s="17" t="s">
        <v>68</v>
      </c>
      <c r="E25" s="13" t="n">
        <v>26</v>
      </c>
      <c r="F25" s="12" t="s">
        <v>173</v>
      </c>
      <c r="G25" s="17" t="s">
        <v>730</v>
      </c>
      <c r="H25" s="17" t="s">
        <v>731</v>
      </c>
      <c r="I25" s="20"/>
    </row>
    <row r="26" customFormat="false" ht="15" hidden="false" customHeight="false" outlineLevel="0" collapsed="false">
      <c r="B26" s="17" t="s">
        <v>732</v>
      </c>
      <c r="C26" s="13" t="n">
        <v>65</v>
      </c>
      <c r="D26" s="17" t="s">
        <v>68</v>
      </c>
      <c r="E26" s="13"/>
      <c r="F26" s="12" t="s">
        <v>338</v>
      </c>
      <c r="G26" s="17" t="s">
        <v>733</v>
      </c>
      <c r="H26" s="17" t="s">
        <v>734</v>
      </c>
      <c r="I26" s="20"/>
    </row>
    <row r="27" customFormat="false" ht="15" hidden="false" customHeight="false" outlineLevel="0" collapsed="false">
      <c r="B27" s="17" t="s">
        <v>735</v>
      </c>
      <c r="C27" s="13" t="n">
        <v>231</v>
      </c>
      <c r="D27" s="17"/>
      <c r="E27" s="13"/>
      <c r="F27" s="12" t="s">
        <v>132</v>
      </c>
      <c r="G27" s="17" t="s">
        <v>736</v>
      </c>
      <c r="H27" s="17" t="s">
        <v>737</v>
      </c>
      <c r="I27" s="20"/>
    </row>
    <row r="28" customFormat="false" ht="15" hidden="false" customHeight="false" outlineLevel="0" collapsed="false">
      <c r="B28" s="17" t="s">
        <v>738</v>
      </c>
      <c r="C28" s="13" t="n">
        <v>5</v>
      </c>
      <c r="D28" s="17" t="s">
        <v>68</v>
      </c>
      <c r="E28" s="13" t="n">
        <v>5</v>
      </c>
      <c r="F28" s="12" t="s">
        <v>475</v>
      </c>
      <c r="G28" s="17" t="s">
        <v>703</v>
      </c>
      <c r="H28" s="17" t="s">
        <v>477</v>
      </c>
      <c r="I28" s="20"/>
    </row>
    <row r="29" customFormat="false" ht="15" hidden="false" customHeight="false" outlineLevel="0" collapsed="false">
      <c r="B29" s="17" t="s">
        <v>739</v>
      </c>
      <c r="C29" s="13" t="n">
        <v>14</v>
      </c>
      <c r="D29" s="17" t="s">
        <v>68</v>
      </c>
      <c r="E29" s="13"/>
      <c r="F29" s="12" t="s">
        <v>472</v>
      </c>
      <c r="G29" s="17" t="s">
        <v>690</v>
      </c>
      <c r="H29" s="17" t="s">
        <v>474</v>
      </c>
      <c r="I29" s="20"/>
    </row>
    <row r="30" customFormat="false" ht="15" hidden="false" customHeight="false" outlineLevel="0" collapsed="false">
      <c r="B30" s="17" t="s">
        <v>732</v>
      </c>
      <c r="C30" s="13" t="n">
        <v>29</v>
      </c>
      <c r="D30" s="17"/>
      <c r="E30" s="13"/>
      <c r="F30" s="12" t="s">
        <v>338</v>
      </c>
      <c r="G30" s="17" t="s">
        <v>733</v>
      </c>
      <c r="H30" s="17" t="s">
        <v>740</v>
      </c>
      <c r="I30" s="20"/>
    </row>
    <row r="31" customFormat="false" ht="15" hidden="false" customHeight="false" outlineLevel="0" collapsed="false">
      <c r="B31" s="17" t="s">
        <v>741</v>
      </c>
      <c r="C31" s="13" t="n">
        <v>28</v>
      </c>
      <c r="D31" s="17"/>
      <c r="E31" s="13"/>
      <c r="F31" s="12" t="s">
        <v>350</v>
      </c>
      <c r="G31" s="17" t="s">
        <v>703</v>
      </c>
      <c r="H31" s="17" t="s">
        <v>742</v>
      </c>
      <c r="I31" s="20"/>
    </row>
    <row r="32" customFormat="false" ht="15" hidden="false" customHeight="false" outlineLevel="0" collapsed="false">
      <c r="B32" s="17" t="s">
        <v>743</v>
      </c>
      <c r="C32" s="13" t="n">
        <v>24</v>
      </c>
      <c r="D32" s="17" t="s">
        <v>68</v>
      </c>
      <c r="E32" s="13" t="n">
        <v>6</v>
      </c>
      <c r="F32" s="12" t="s">
        <v>271</v>
      </c>
      <c r="G32" s="17" t="s">
        <v>744</v>
      </c>
      <c r="H32" s="17" t="s">
        <v>495</v>
      </c>
      <c r="I32" s="20"/>
    </row>
    <row r="33" customFormat="false" ht="15" hidden="false" customHeight="false" outlineLevel="0" collapsed="false">
      <c r="B33" s="17" t="s">
        <v>745</v>
      </c>
      <c r="C33" s="13" t="n">
        <v>31</v>
      </c>
      <c r="D33" s="17"/>
      <c r="E33" s="13"/>
      <c r="F33" s="12" t="s">
        <v>159</v>
      </c>
      <c r="G33" s="17" t="s">
        <v>746</v>
      </c>
      <c r="H33" s="17" t="s">
        <v>747</v>
      </c>
      <c r="I33" s="20"/>
    </row>
    <row r="34" customFormat="false" ht="15" hidden="false" customHeight="false" outlineLevel="0" collapsed="false">
      <c r="B34" s="17" t="s">
        <v>748</v>
      </c>
      <c r="C34" s="13" t="n">
        <v>7</v>
      </c>
      <c r="D34" s="17"/>
      <c r="E34" s="13"/>
      <c r="F34" s="12" t="s">
        <v>340</v>
      </c>
      <c r="G34" s="17" t="s">
        <v>749</v>
      </c>
      <c r="H34" s="17" t="s">
        <v>492</v>
      </c>
      <c r="I34" s="20"/>
    </row>
    <row r="35" customFormat="false" ht="15" hidden="false" customHeight="false" outlineLevel="0" collapsed="false">
      <c r="B35" s="17" t="s">
        <v>750</v>
      </c>
      <c r="C35" s="13" t="n">
        <v>3</v>
      </c>
      <c r="D35" s="17" t="s">
        <v>68</v>
      </c>
      <c r="E35" s="13" t="n">
        <v>3</v>
      </c>
      <c r="F35" s="12" t="s">
        <v>440</v>
      </c>
      <c r="G35" s="17" t="s">
        <v>703</v>
      </c>
      <c r="H35" s="17" t="s">
        <v>751</v>
      </c>
      <c r="I35" s="20"/>
    </row>
    <row r="36" customFormat="false" ht="15" hidden="false" customHeight="false" outlineLevel="0" collapsed="false">
      <c r="B36" s="17" t="s">
        <v>752</v>
      </c>
      <c r="C36" s="13" t="n">
        <v>4</v>
      </c>
      <c r="D36" s="17" t="s">
        <v>68</v>
      </c>
      <c r="E36" s="13"/>
      <c r="F36" s="12" t="s">
        <v>443</v>
      </c>
      <c r="G36" s="17" t="s">
        <v>690</v>
      </c>
      <c r="H36" s="17" t="s">
        <v>514</v>
      </c>
      <c r="I36" s="20"/>
    </row>
    <row r="37" customFormat="false" ht="15" hidden="false" customHeight="false" outlineLevel="0" collapsed="false">
      <c r="B37" s="17" t="s">
        <v>753</v>
      </c>
      <c r="C37" s="13" t="n">
        <v>5</v>
      </c>
      <c r="D37" s="17" t="s">
        <v>68</v>
      </c>
      <c r="E37" s="13"/>
      <c r="F37" s="12" t="s">
        <v>460</v>
      </c>
      <c r="G37" s="17" t="s">
        <v>690</v>
      </c>
      <c r="H37" s="17" t="s">
        <v>754</v>
      </c>
      <c r="I37" s="20"/>
    </row>
    <row r="38" customFormat="false" ht="15" hidden="false" customHeight="false" outlineLevel="0" collapsed="false">
      <c r="B38" s="17" t="s">
        <v>755</v>
      </c>
      <c r="C38" s="13" t="n">
        <v>2</v>
      </c>
      <c r="D38" s="17" t="s">
        <v>68</v>
      </c>
      <c r="E38" s="13"/>
      <c r="F38" s="12" t="s">
        <v>496</v>
      </c>
      <c r="G38" s="17" t="s">
        <v>690</v>
      </c>
      <c r="H38" s="17" t="s">
        <v>498</v>
      </c>
      <c r="I38" s="20"/>
    </row>
    <row r="39" customFormat="false" ht="15" hidden="false" customHeight="false" outlineLevel="0" collapsed="false">
      <c r="B39" s="17" t="s">
        <v>756</v>
      </c>
      <c r="C39" s="13" t="n">
        <v>2600</v>
      </c>
      <c r="D39" s="17"/>
      <c r="E39" s="13"/>
      <c r="F39" s="12" t="s">
        <v>135</v>
      </c>
      <c r="G39" s="17" t="s">
        <v>757</v>
      </c>
      <c r="H39" s="17" t="s">
        <v>48</v>
      </c>
      <c r="I39" s="20"/>
    </row>
    <row r="40" customFormat="false" ht="15" hidden="false" customHeight="false" outlineLevel="0" collapsed="false">
      <c r="B40" s="17" t="s">
        <v>758</v>
      </c>
      <c r="C40" s="13" t="n">
        <v>375</v>
      </c>
      <c r="D40" s="17" t="s">
        <v>94</v>
      </c>
      <c r="E40" s="13"/>
      <c r="F40" s="12" t="s">
        <v>92</v>
      </c>
      <c r="G40" s="17" t="s">
        <v>759</v>
      </c>
      <c r="H40" s="17" t="s">
        <v>44</v>
      </c>
      <c r="I40" s="20"/>
    </row>
    <row r="41" customFormat="false" ht="15" hidden="false" customHeight="false" outlineLevel="0" collapsed="false">
      <c r="B41" s="17" t="s">
        <v>760</v>
      </c>
      <c r="C41" s="13" t="n">
        <v>780</v>
      </c>
      <c r="D41" s="17" t="s">
        <v>94</v>
      </c>
      <c r="E41" s="13"/>
      <c r="F41" s="12" t="s">
        <v>92</v>
      </c>
      <c r="G41" s="17" t="s">
        <v>761</v>
      </c>
      <c r="H41" s="17" t="s">
        <v>50</v>
      </c>
      <c r="I41" s="20"/>
    </row>
    <row r="42" customFormat="false" ht="15" hidden="false" customHeight="false" outlineLevel="0" collapsed="false">
      <c r="B42" s="17" t="s">
        <v>762</v>
      </c>
      <c r="C42" s="13" t="n">
        <v>2600</v>
      </c>
      <c r="D42" s="17"/>
      <c r="E42" s="13"/>
      <c r="F42" s="12" t="s">
        <v>92</v>
      </c>
      <c r="G42" s="17" t="s">
        <v>746</v>
      </c>
      <c r="H42" s="17" t="s">
        <v>48</v>
      </c>
      <c r="I42" s="20"/>
    </row>
    <row r="43" customFormat="false" ht="15" hidden="false" customHeight="false" outlineLevel="0" collapsed="false">
      <c r="B43" s="17" t="s">
        <v>763</v>
      </c>
      <c r="C43" s="13" t="n">
        <v>5</v>
      </c>
      <c r="D43" s="17"/>
      <c r="E43" s="13"/>
      <c r="F43" s="12" t="s">
        <v>629</v>
      </c>
      <c r="G43" s="17" t="s">
        <v>698</v>
      </c>
      <c r="H43" s="17" t="s">
        <v>51</v>
      </c>
      <c r="I43" s="20"/>
    </row>
    <row r="44" customFormat="false" ht="15" hidden="false" customHeight="false" outlineLevel="0" collapsed="false">
      <c r="B44" s="17" t="s">
        <v>764</v>
      </c>
      <c r="C44" s="13" t="n">
        <v>1</v>
      </c>
      <c r="D44" s="17" t="s">
        <v>68</v>
      </c>
      <c r="E44" s="13" t="n">
        <v>1</v>
      </c>
      <c r="F44" s="12" t="s">
        <v>440</v>
      </c>
      <c r="G44" s="17" t="s">
        <v>703</v>
      </c>
      <c r="H44" s="17" t="s">
        <v>38</v>
      </c>
      <c r="I44" s="20"/>
    </row>
    <row r="45" customFormat="false" ht="15" hidden="false" customHeight="false" outlineLevel="0" collapsed="false">
      <c r="B45" s="17" t="s">
        <v>765</v>
      </c>
      <c r="C45" s="13" t="n">
        <v>6</v>
      </c>
      <c r="D45" s="17"/>
      <c r="E45" s="13"/>
      <c r="F45" s="12" t="s">
        <v>559</v>
      </c>
      <c r="G45" s="17" t="s">
        <v>766</v>
      </c>
      <c r="H45" s="17" t="s">
        <v>52</v>
      </c>
      <c r="I45" s="20"/>
    </row>
    <row r="46" customFormat="false" ht="15" hidden="false" customHeight="false" outlineLevel="0" collapsed="false">
      <c r="B46" s="17" t="s">
        <v>767</v>
      </c>
      <c r="C46" s="13" t="n">
        <v>32</v>
      </c>
      <c r="D46" s="17"/>
      <c r="E46" s="13"/>
      <c r="F46" s="12" t="s">
        <v>557</v>
      </c>
      <c r="G46" s="17" t="s">
        <v>768</v>
      </c>
      <c r="H46" s="17" t="s">
        <v>50</v>
      </c>
      <c r="I46" s="20"/>
    </row>
    <row r="47" customFormat="false" ht="15" hidden="false" customHeight="false" outlineLevel="0" collapsed="false">
      <c r="B47" s="17" t="s">
        <v>769</v>
      </c>
      <c r="C47" s="13" t="n">
        <v>50</v>
      </c>
      <c r="D47" s="17"/>
      <c r="E47" s="13"/>
      <c r="F47" s="12" t="s">
        <v>86</v>
      </c>
      <c r="G47" s="17" t="s">
        <v>770</v>
      </c>
      <c r="H47" s="17" t="s">
        <v>44</v>
      </c>
      <c r="I47" s="20"/>
    </row>
    <row r="48" customFormat="false" ht="15" hidden="false" customHeight="false" outlineLevel="0" collapsed="false">
      <c r="B48" s="17" t="s">
        <v>771</v>
      </c>
      <c r="C48" s="13" t="n">
        <v>30</v>
      </c>
      <c r="D48" s="17"/>
      <c r="E48" s="13"/>
      <c r="F48" s="12" t="s">
        <v>350</v>
      </c>
      <c r="G48" s="17" t="s">
        <v>772</v>
      </c>
      <c r="H48" s="17" t="s">
        <v>42</v>
      </c>
      <c r="I48" s="20"/>
    </row>
    <row r="49" customFormat="false" ht="15" hidden="false" customHeight="false" outlineLevel="0" collapsed="false">
      <c r="B49" s="17" t="s">
        <v>773</v>
      </c>
      <c r="C49" s="13" t="n">
        <v>121</v>
      </c>
      <c r="D49" s="17" t="s">
        <v>68</v>
      </c>
      <c r="E49" s="13"/>
      <c r="F49" s="12" t="s">
        <v>242</v>
      </c>
      <c r="G49" s="17" t="s">
        <v>774</v>
      </c>
      <c r="H49" s="17" t="s">
        <v>38</v>
      </c>
      <c r="I49" s="20"/>
    </row>
    <row r="50" customFormat="false" ht="15" hidden="false" customHeight="false" outlineLevel="0" collapsed="false">
      <c r="B50" s="17" t="s">
        <v>775</v>
      </c>
      <c r="C50" s="13" t="n">
        <v>1</v>
      </c>
      <c r="D50" s="17" t="s">
        <v>68</v>
      </c>
      <c r="E50" s="13" t="n">
        <v>1</v>
      </c>
      <c r="F50" s="12" t="s">
        <v>319</v>
      </c>
      <c r="G50" s="17" t="s">
        <v>776</v>
      </c>
      <c r="H50" s="17" t="s">
        <v>44</v>
      </c>
      <c r="I50" s="20"/>
    </row>
    <row r="51" customFormat="false" ht="15" hidden="false" customHeight="false" outlineLevel="0" collapsed="false">
      <c r="B51" s="17" t="s">
        <v>777</v>
      </c>
      <c r="C51" s="13" t="n">
        <v>1</v>
      </c>
      <c r="D51" s="17" t="s">
        <v>68</v>
      </c>
      <c r="E51" s="13" t="n">
        <v>1</v>
      </c>
      <c r="F51" s="12" t="s">
        <v>666</v>
      </c>
      <c r="G51" s="17" t="s">
        <v>730</v>
      </c>
      <c r="H51" s="17" t="s">
        <v>46</v>
      </c>
      <c r="I51" s="20"/>
    </row>
    <row r="52" customFormat="false" ht="15" hidden="false" customHeight="false" outlineLevel="0" collapsed="false">
      <c r="B52" s="17" t="s">
        <v>778</v>
      </c>
      <c r="C52" s="13" t="n">
        <v>20</v>
      </c>
      <c r="D52" s="17"/>
      <c r="E52" s="13"/>
      <c r="F52" s="12" t="s">
        <v>187</v>
      </c>
      <c r="G52" s="17" t="s">
        <v>779</v>
      </c>
      <c r="H52" s="17" t="s">
        <v>51</v>
      </c>
      <c r="I52" s="20"/>
    </row>
    <row r="53" customFormat="false" ht="15" hidden="false" customHeight="false" outlineLevel="0" collapsed="false">
      <c r="B53" s="17" t="s">
        <v>780</v>
      </c>
      <c r="C53" s="13" t="n">
        <v>10</v>
      </c>
      <c r="D53" s="17"/>
      <c r="E53" s="13"/>
      <c r="F53" s="12" t="s">
        <v>224</v>
      </c>
      <c r="G53" s="17" t="s">
        <v>781</v>
      </c>
      <c r="H53" s="17" t="s">
        <v>49</v>
      </c>
      <c r="I53" s="20"/>
    </row>
    <row r="54" customFormat="false" ht="15" hidden="false" customHeight="false" outlineLevel="0" collapsed="false">
      <c r="B54" s="17" t="s">
        <v>782</v>
      </c>
      <c r="C54" s="13" t="n">
        <v>50</v>
      </c>
      <c r="D54" s="17"/>
      <c r="E54" s="13"/>
      <c r="F54" s="12" t="s">
        <v>545</v>
      </c>
      <c r="G54" s="17" t="s">
        <v>783</v>
      </c>
      <c r="H54" s="17" t="s">
        <v>38</v>
      </c>
      <c r="I54" s="20"/>
    </row>
    <row r="55" customFormat="false" ht="15" hidden="false" customHeight="false" outlineLevel="0" collapsed="false">
      <c r="B55" s="17" t="s">
        <v>784</v>
      </c>
      <c r="C55" s="13" t="n">
        <v>6</v>
      </c>
      <c r="D55" s="17"/>
      <c r="E55" s="13"/>
      <c r="F55" s="12" t="s">
        <v>115</v>
      </c>
      <c r="G55" s="17" t="s">
        <v>785</v>
      </c>
      <c r="H55" s="17" t="s">
        <v>38</v>
      </c>
      <c r="I55" s="20"/>
    </row>
    <row r="56" customFormat="false" ht="15" hidden="false" customHeight="false" outlineLevel="0" collapsed="false">
      <c r="B56" s="17" t="s">
        <v>786</v>
      </c>
      <c r="C56" s="13" t="n">
        <v>2</v>
      </c>
      <c r="D56" s="17" t="s">
        <v>68</v>
      </c>
      <c r="E56" s="13"/>
      <c r="F56" s="12" t="s">
        <v>312</v>
      </c>
      <c r="G56" s="17" t="s">
        <v>746</v>
      </c>
      <c r="H56" s="17" t="s">
        <v>44</v>
      </c>
      <c r="I56" s="20"/>
    </row>
    <row r="57" customFormat="false" ht="15" hidden="false" customHeight="false" outlineLevel="0" collapsed="false">
      <c r="B57" s="17" t="s">
        <v>787</v>
      </c>
      <c r="C57" s="13" t="n">
        <v>6</v>
      </c>
      <c r="D57" s="17" t="s">
        <v>68</v>
      </c>
      <c r="E57" s="13"/>
      <c r="F57" s="12" t="s">
        <v>314</v>
      </c>
      <c r="G57" s="17" t="s">
        <v>746</v>
      </c>
      <c r="H57" s="17" t="s">
        <v>44</v>
      </c>
      <c r="I57" s="20"/>
    </row>
    <row r="58" customFormat="false" ht="15" hidden="false" customHeight="false" outlineLevel="0" collapsed="false">
      <c r="B58" s="17" t="s">
        <v>788</v>
      </c>
      <c r="C58" s="13"/>
      <c r="D58" s="17" t="s">
        <v>68</v>
      </c>
      <c r="E58" s="13" t="n">
        <v>4</v>
      </c>
      <c r="F58" s="12" t="s">
        <v>307</v>
      </c>
      <c r="G58" s="17" t="s">
        <v>789</v>
      </c>
      <c r="H58" s="17" t="s">
        <v>52</v>
      </c>
      <c r="I58" s="20"/>
    </row>
    <row r="59" customFormat="false" ht="15" hidden="false" customHeight="false" outlineLevel="0" collapsed="false">
      <c r="B59" s="17" t="s">
        <v>790</v>
      </c>
      <c r="C59" s="13"/>
      <c r="D59" s="17" t="s">
        <v>68</v>
      </c>
      <c r="E59" s="13" t="n">
        <v>2</v>
      </c>
      <c r="F59" s="12" t="s">
        <v>649</v>
      </c>
      <c r="G59" s="17" t="s">
        <v>770</v>
      </c>
      <c r="H59" s="17" t="s">
        <v>41</v>
      </c>
      <c r="I59" s="20"/>
    </row>
    <row r="60" customFormat="false" ht="15" hidden="false" customHeight="false" outlineLevel="0" collapsed="false">
      <c r="B60" s="17" t="s">
        <v>791</v>
      </c>
      <c r="C60" s="13"/>
      <c r="D60" s="17" t="s">
        <v>68</v>
      </c>
      <c r="E60" s="13" t="n">
        <v>15</v>
      </c>
      <c r="F60" s="12" t="s">
        <v>559</v>
      </c>
      <c r="G60" s="17" t="s">
        <v>792</v>
      </c>
      <c r="H60" s="17" t="s">
        <v>52</v>
      </c>
      <c r="I60" s="20"/>
    </row>
    <row r="61" customFormat="false" ht="15" hidden="false" customHeight="false" outlineLevel="0" collapsed="false">
      <c r="B61" s="17" t="s">
        <v>793</v>
      </c>
      <c r="C61" s="13"/>
      <c r="D61" s="17" t="s">
        <v>68</v>
      </c>
      <c r="E61" s="13" t="n">
        <v>12</v>
      </c>
      <c r="F61" s="12" t="s">
        <v>380</v>
      </c>
      <c r="G61" s="17" t="s">
        <v>794</v>
      </c>
      <c r="H61" s="17" t="s">
        <v>41</v>
      </c>
      <c r="I61" s="20"/>
    </row>
    <row r="62" customFormat="false" ht="15" hidden="false" customHeight="false" outlineLevel="0" collapsed="false">
      <c r="B62" s="17" t="s">
        <v>795</v>
      </c>
      <c r="C62" s="13" t="n">
        <v>4</v>
      </c>
      <c r="D62" s="17"/>
      <c r="E62" s="13"/>
      <c r="F62" s="12" t="s">
        <v>559</v>
      </c>
      <c r="G62" s="17" t="s">
        <v>770</v>
      </c>
      <c r="H62" s="17" t="s">
        <v>44</v>
      </c>
      <c r="I62" s="20"/>
    </row>
    <row r="63" customFormat="false" ht="15" hidden="false" customHeight="false" outlineLevel="0" collapsed="false">
      <c r="B63" s="17" t="s">
        <v>745</v>
      </c>
      <c r="C63" s="13" t="n">
        <v>5</v>
      </c>
      <c r="D63" s="17"/>
      <c r="E63" s="13"/>
      <c r="F63" s="12" t="s">
        <v>159</v>
      </c>
      <c r="G63" s="17" t="s">
        <v>746</v>
      </c>
      <c r="H63" s="17" t="s">
        <v>43</v>
      </c>
      <c r="I63" s="20"/>
    </row>
    <row r="64" customFormat="false" ht="15" hidden="false" customHeight="false" outlineLevel="0" collapsed="false">
      <c r="B64" s="17" t="s">
        <v>796</v>
      </c>
      <c r="C64" s="13" t="n">
        <v>2</v>
      </c>
      <c r="D64" s="17" t="s">
        <v>68</v>
      </c>
      <c r="E64" s="13" t="n">
        <v>2</v>
      </c>
      <c r="F64" s="12" t="s">
        <v>547</v>
      </c>
      <c r="G64" s="17" t="s">
        <v>703</v>
      </c>
      <c r="H64" s="17" t="s">
        <v>41</v>
      </c>
      <c r="I64" s="20"/>
    </row>
    <row r="65" customFormat="false" ht="15" hidden="false" customHeight="false" outlineLevel="0" collapsed="false">
      <c r="B65" s="17" t="s">
        <v>797</v>
      </c>
      <c r="C65" s="13" t="n">
        <v>1</v>
      </c>
      <c r="D65" s="17" t="s">
        <v>68</v>
      </c>
      <c r="E65" s="13" t="n">
        <v>1</v>
      </c>
      <c r="F65" s="12" t="s">
        <v>361</v>
      </c>
      <c r="G65" s="17" t="s">
        <v>798</v>
      </c>
      <c r="H65" s="17" t="s">
        <v>42</v>
      </c>
      <c r="I65" s="20"/>
    </row>
    <row r="66" customFormat="false" ht="15" hidden="false" customHeight="false" outlineLevel="0" collapsed="false">
      <c r="B66" s="17" t="s">
        <v>799</v>
      </c>
      <c r="C66" s="13" t="n">
        <v>1</v>
      </c>
      <c r="D66" s="17" t="s">
        <v>68</v>
      </c>
      <c r="E66" s="13"/>
      <c r="F66" s="12" t="s">
        <v>577</v>
      </c>
      <c r="G66" s="17" t="s">
        <v>724</v>
      </c>
      <c r="H66" s="17" t="s">
        <v>41</v>
      </c>
      <c r="I66" s="20"/>
    </row>
    <row r="67" customFormat="false" ht="15" hidden="false" customHeight="false" outlineLevel="0" collapsed="false">
      <c r="B67" s="17" t="s">
        <v>800</v>
      </c>
      <c r="C67" s="13" t="n">
        <v>1</v>
      </c>
      <c r="D67" s="17" t="s">
        <v>68</v>
      </c>
      <c r="E67" s="13" t="n">
        <v>1</v>
      </c>
      <c r="F67" s="12" t="s">
        <v>666</v>
      </c>
      <c r="G67" s="17" t="s">
        <v>703</v>
      </c>
      <c r="H67" s="17" t="s">
        <v>46</v>
      </c>
      <c r="I67" s="20"/>
    </row>
    <row r="68" customFormat="false" ht="15" hidden="false" customHeight="false" outlineLevel="0" collapsed="false">
      <c r="B68" s="17" t="s">
        <v>801</v>
      </c>
      <c r="C68" s="13" t="n">
        <v>3</v>
      </c>
      <c r="D68" s="17" t="s">
        <v>68</v>
      </c>
      <c r="E68" s="13" t="n">
        <v>3</v>
      </c>
      <c r="F68" s="12" t="s">
        <v>666</v>
      </c>
      <c r="G68" s="17" t="s">
        <v>798</v>
      </c>
      <c r="H68" s="17" t="s">
        <v>48</v>
      </c>
      <c r="I68" s="20"/>
    </row>
    <row r="69" customFormat="false" ht="15" hidden="false" customHeight="false" outlineLevel="0" collapsed="false">
      <c r="B69" s="17" t="s">
        <v>802</v>
      </c>
      <c r="C69" s="13"/>
      <c r="D69" s="17" t="s">
        <v>94</v>
      </c>
      <c r="E69" s="13" t="n">
        <v>2600</v>
      </c>
      <c r="F69" s="12" t="s">
        <v>524</v>
      </c>
      <c r="G69" s="17" t="s">
        <v>698</v>
      </c>
      <c r="H69" s="17" t="s">
        <v>50</v>
      </c>
      <c r="I69" s="20"/>
    </row>
  </sheetData>
  <autoFilter ref="B5:I69"/>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6" min="3" style="0" width="26"/>
  </cols>
  <sheetData>
    <row r="2" customFormat="false" ht="16.15" hidden="false" customHeight="false" outlineLevel="0" collapsed="false">
      <c r="B2" s="10" t="s">
        <v>803</v>
      </c>
    </row>
    <row r="4" customFormat="false" ht="15" hidden="false" customHeight="false" outlineLevel="0" collapsed="false">
      <c r="B4" s="7" t="s">
        <v>804</v>
      </c>
    </row>
    <row r="5" customFormat="false" ht="25.5" hidden="false" customHeight="true" outlineLevel="0" collapsed="false">
      <c r="B5" s="3" t="s">
        <v>805</v>
      </c>
      <c r="C5" s="8" t="s">
        <v>806</v>
      </c>
      <c r="D5" s="8"/>
      <c r="E5" s="8"/>
      <c r="F5" s="8"/>
    </row>
    <row r="6" customFormat="false" ht="25.5" hidden="false" customHeight="true" outlineLevel="0" collapsed="false">
      <c r="B6" s="3" t="s">
        <v>807</v>
      </c>
      <c r="C6" s="8" t="s">
        <v>808</v>
      </c>
      <c r="D6" s="8"/>
      <c r="E6" s="8"/>
      <c r="F6" s="8"/>
    </row>
    <row r="7" customFormat="false" ht="25.5" hidden="false" customHeight="true" outlineLevel="0" collapsed="false">
      <c r="B7" s="3" t="s">
        <v>809</v>
      </c>
      <c r="C7" s="8" t="s">
        <v>810</v>
      </c>
      <c r="D7" s="8"/>
      <c r="E7" s="8"/>
      <c r="F7" s="8"/>
    </row>
    <row r="8" customFormat="false" ht="25.5" hidden="false" customHeight="true" outlineLevel="0" collapsed="false">
      <c r="B8" s="3" t="s">
        <v>811</v>
      </c>
      <c r="C8" s="8" t="s">
        <v>812</v>
      </c>
      <c r="D8" s="8"/>
      <c r="E8" s="8"/>
      <c r="F8" s="8"/>
    </row>
    <row r="10" customFormat="false" ht="15" hidden="false" customHeight="false" outlineLevel="0" collapsed="false">
      <c r="B10" s="7" t="s">
        <v>813</v>
      </c>
    </row>
    <row r="11" customFormat="false" ht="24" hidden="false" customHeight="true" outlineLevel="0" collapsed="false">
      <c r="B11" s="8" t="s">
        <v>814</v>
      </c>
      <c r="C11" s="8"/>
      <c r="D11" s="8"/>
      <c r="E11" s="8"/>
      <c r="F11" s="8"/>
    </row>
    <row r="12" customFormat="false" ht="24" hidden="false" customHeight="true" outlineLevel="0" collapsed="false">
      <c r="B12" s="8" t="s">
        <v>815</v>
      </c>
      <c r="C12" s="8"/>
      <c r="D12" s="8"/>
      <c r="E12" s="8"/>
      <c r="F12" s="8"/>
    </row>
    <row r="13" customFormat="false" ht="24" hidden="false" customHeight="true" outlineLevel="0" collapsed="false">
      <c r="B13" s="8" t="s">
        <v>816</v>
      </c>
      <c r="C13" s="8"/>
      <c r="D13" s="8"/>
      <c r="E13" s="8"/>
      <c r="F13" s="8"/>
    </row>
    <row r="14" customFormat="false" ht="24" hidden="false" customHeight="true" outlineLevel="0" collapsed="false">
      <c r="B14" s="8" t="s">
        <v>817</v>
      </c>
      <c r="C14" s="8"/>
      <c r="D14" s="8"/>
      <c r="E14" s="8"/>
      <c r="F14" s="8"/>
    </row>
    <row r="16" customFormat="false" ht="15" hidden="false" customHeight="false" outlineLevel="0" collapsed="false">
      <c r="B16" s="7" t="s">
        <v>818</v>
      </c>
    </row>
    <row r="17" customFormat="false" ht="25.5" hidden="false" customHeight="true" outlineLevel="0" collapsed="false">
      <c r="B17" s="8" t="s">
        <v>819</v>
      </c>
      <c r="C17" s="8"/>
      <c r="D17" s="8"/>
      <c r="E17" s="8"/>
      <c r="F17" s="8"/>
    </row>
    <row r="18" customFormat="false" ht="25.5" hidden="false" customHeight="true" outlineLevel="0" collapsed="false">
      <c r="B18" s="8" t="s">
        <v>820</v>
      </c>
      <c r="C18" s="8"/>
      <c r="D18" s="8"/>
      <c r="E18" s="8"/>
      <c r="F18" s="8"/>
    </row>
    <row r="19" customFormat="false" ht="25.5" hidden="false" customHeight="true" outlineLevel="0" collapsed="false">
      <c r="B19" s="8" t="s">
        <v>821</v>
      </c>
      <c r="C19" s="8"/>
      <c r="D19" s="8"/>
      <c r="E19" s="8"/>
      <c r="F19" s="8"/>
    </row>
    <row r="20" customFormat="false" ht="25.5" hidden="false" customHeight="true" outlineLevel="0" collapsed="false">
      <c r="B20" s="8" t="s">
        <v>822</v>
      </c>
      <c r="C20" s="8"/>
      <c r="D20" s="8"/>
      <c r="E20" s="8"/>
      <c r="F20" s="8"/>
    </row>
    <row r="21" customFormat="false" ht="25.5" hidden="false" customHeight="true" outlineLevel="0" collapsed="false">
      <c r="B21" s="8" t="s">
        <v>823</v>
      </c>
      <c r="C21" s="8"/>
      <c r="D21" s="8"/>
      <c r="E21" s="8"/>
      <c r="F21" s="8"/>
    </row>
    <row r="23" customFormat="false" ht="15" hidden="false" customHeight="false" outlineLevel="0" collapsed="false">
      <c r="B23" s="7" t="s">
        <v>29</v>
      </c>
    </row>
    <row r="24" customFormat="false" ht="15" hidden="false" customHeight="true" outlineLevel="0" collapsed="false">
      <c r="B24" s="9" t="s">
        <v>824</v>
      </c>
      <c r="C24" s="9"/>
      <c r="D24" s="9"/>
      <c r="E24" s="9"/>
      <c r="F24" s="9"/>
    </row>
    <row r="25" customFormat="false" ht="15" hidden="false" customHeight="false" outlineLevel="0" collapsed="false">
      <c r="B25" s="9"/>
      <c r="C25" s="9"/>
      <c r="D25" s="9"/>
      <c r="E25" s="9"/>
      <c r="F25" s="9"/>
    </row>
    <row r="26" customFormat="false" ht="15" hidden="false" customHeight="false" outlineLevel="0" collapsed="false">
      <c r="B26" s="9"/>
      <c r="C26" s="9"/>
      <c r="D26" s="9"/>
      <c r="E26" s="9"/>
      <c r="F26" s="9"/>
    </row>
    <row r="27" customFormat="false" ht="15" hidden="false" customHeight="false" outlineLevel="0" collapsed="false">
      <c r="B27" s="9"/>
      <c r="C27" s="9"/>
      <c r="D27" s="9"/>
      <c r="E27" s="9"/>
      <c r="F27" s="9"/>
    </row>
    <row r="28" customFormat="false" ht="15" hidden="false" customHeight="false" outlineLevel="0" collapsed="false">
      <c r="B28" s="9"/>
      <c r="C28" s="9"/>
      <c r="D28" s="9"/>
      <c r="E28" s="9"/>
      <c r="F28" s="9"/>
    </row>
  </sheetData>
  <mergeCells count="14">
    <mergeCell ref="C5:F5"/>
    <mergeCell ref="C6:F6"/>
    <mergeCell ref="C7:F7"/>
    <mergeCell ref="C8:F8"/>
    <mergeCell ref="B11:F11"/>
    <mergeCell ref="B12:F12"/>
    <mergeCell ref="B13:F13"/>
    <mergeCell ref="B14:F14"/>
    <mergeCell ref="B17:F17"/>
    <mergeCell ref="B18:F18"/>
    <mergeCell ref="B19:F19"/>
    <mergeCell ref="B20:F20"/>
    <mergeCell ref="B21:F21"/>
    <mergeCell ref="B24: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2026-08-21T16:00:15Z</dcterms:created>
  <dc:creator>openpyxl</dc:creator>
  <dc:description/>
  <dc:language>en-US</dc:language>
  <cp:lastModifiedBy/>
  <dcterms:modified xsi:type="dcterms:W3CDTF">2026-08-21T16:00:16Z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