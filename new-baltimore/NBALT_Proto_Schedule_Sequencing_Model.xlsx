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ope &amp; Durations" sheetId="2" state="visible" r:id="rId4"/>
    <sheet name="Scenario Comparison" sheetId="3" state="visible" r:id="rId5"/>
    <sheet name="Schedule Skeleton (3-crew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<sst xmlns="http://schemas.openxmlformats.org/spreadsheetml/2006/main" count="149" uniqueCount="110">
  <si>
    <t xml:space="preserve">NEW BALTIMORE PROTO-SCHEDULE &amp; SEQUENCING MODEL — ASSUMPTIONS</t>
  </si>
  <si>
    <t xml:space="preserve">v1 · Aug 5, 2026 · CVR Engineering · Blue/yellow = editable inputs; validate with HWC field before any number goes to DTE.</t>
  </si>
  <si>
    <t xml:space="preserve">PRODUCTION RATES (industry-typical rural distribution rebuild — REPLACE with HWC actuals)</t>
  </si>
  <si>
    <t xml:space="preserve">Poles set + framed per crew-day</t>
  </si>
  <si>
    <t xml:space="preserve">Rural OH distribution, incl. hardware/framing</t>
  </si>
  <si>
    <t xml:space="preserve">Conductor strung per crew-day (ft)</t>
  </si>
  <si>
    <t xml:space="preserve">3-phase pull incl. sagging/clipping, rural spans</t>
  </si>
  <si>
    <t xml:space="preserve">Transformers hung + connected per crew-day</t>
  </si>
  <si>
    <t xml:space="preserve">Pole-mount, incl. cutouts/arresters</t>
  </si>
  <si>
    <t xml:space="preserve">Cutover / energize days per CWO</t>
  </si>
  <si>
    <t xml:space="preserve">Switching, phasing, load checks — per work order</t>
  </si>
  <si>
    <t xml:space="preserve">Restoration as % of construction crew-days</t>
  </si>
  <si>
    <t xml:space="preserve">Cleanup, seeding, matting removal</t>
  </si>
  <si>
    <t xml:space="preserve">MOBILIZATION &amp; CREW ECONOMICS</t>
  </si>
  <si>
    <t xml:space="preserve">Mob + demob crew-days per mobilization event</t>
  </si>
  <si>
    <t xml:space="preserve">Yard load-out, travel, setup/teardown</t>
  </si>
  <si>
    <t xml:space="preserve">Fixed cost per mobilization event ($)</t>
  </si>
  <si>
    <t xml:space="preserve">Traffic setup, delivery staging, permits admin, equip moves</t>
  </si>
  <si>
    <t xml:space="preserve">Ramp-up productivity loss per cold start (crew-days)</t>
  </si>
  <si>
    <t xml:space="preserve">First ~2 days at reduced output on unfamiliar site</t>
  </si>
  <si>
    <t xml:space="preserve">Fully burdened crew cost per day ($)</t>
  </si>
  <si>
    <t xml:space="preserve">4-person crew + foreman share + equipment spread</t>
  </si>
  <si>
    <t xml:space="preserve">Field supervision + PM cost per calendar week ($)</t>
  </si>
  <si>
    <t xml:space="preserve">GF/superintendent + PM attributable to program</t>
  </si>
  <si>
    <t xml:space="preserve">SEQUENCING EFFECT</t>
  </si>
  <si>
    <t xml:space="preserve">Campaign productivity uplift on construction crew-days</t>
  </si>
  <si>
    <t xml:space="preserve">Crew continuity/learning; industry range 5-15%</t>
  </si>
  <si>
    <t xml:space="preserve">Number of campaigns (geographic groupings)</t>
  </si>
  <si>
    <t xml:space="preserve">ASSUMED — replace with real corridor groupings</t>
  </si>
  <si>
    <t xml:space="preserve">PROGRAM EXTRAPOLATION</t>
  </si>
  <si>
    <t xml:space="preserve">These 15 CWOs as share of total OH program</t>
  </si>
  <si>
    <t xml:space="preserve">REVISED from DTE Maximo workbook: our 15 CWOs cover ~97% of program install wire (141,020 ft total). Was 0.50 placeholder.</t>
  </si>
  <si>
    <t xml:space="preserve">CALENDAR</t>
  </si>
  <si>
    <t xml:space="preserve">Construction start</t>
  </si>
  <si>
    <t xml:space="preserve">First Monday April 2027 — "next spring"</t>
  </si>
  <si>
    <t xml:space="preserve">HARDENING CHECKLIST (converts strawman → DTE-grade)</t>
  </si>
  <si>
    <t xml:space="preserve">1. Replace production rates with HWC estimate/actuals (per-WO labor breakdown)</t>
  </si>
  <si>
    <t xml:space="preserve">2. Replace campaign groupings with real geography/circuit adjacency</t>
  </si>
  <si>
    <t xml:space="preserve">3. Add remaining ~16 OH work orders (have 15 of 39; UG deletions TBD)</t>
  </si>
  <si>
    <t xml:space="preserve">4. Add TRK-4911 predecessor dates + DTE outage windows + WO release plan</t>
  </si>
  <si>
    <t xml:space="preserve">5. Validate mob fixed cost and supervision rate with finance</t>
  </si>
  <si>
    <t xml:space="preserve">CWO</t>
  </si>
  <si>
    <t xml:space="preserve">Poles</t>
  </si>
  <si>
    <t xml:space="preserve">OH Conductor (ft)</t>
  </si>
  <si>
    <t xml:space="preserve">Transformers</t>
  </si>
  <si>
    <t xml:space="preserve">CUE Material $</t>
  </si>
  <si>
    <t xml:space="preserve">Pole Days</t>
  </si>
  <si>
    <t xml:space="preserve">Stringing Days</t>
  </si>
  <si>
    <t xml:space="preserve">Xfmr Days</t>
  </si>
  <si>
    <t xml:space="preserve">Cutover</t>
  </si>
  <si>
    <t xml:space="preserve">Restoration</t>
  </si>
  <si>
    <t xml:space="preserve">Construction Crew-Days</t>
  </si>
  <si>
    <t xml:space="preserve">Baseline Mob+Demob</t>
  </si>
  <si>
    <t xml:space="preserve">Baseline Ramp Loss</t>
  </si>
  <si>
    <t xml:space="preserve">Baseline Total Crew-Days</t>
  </si>
  <si>
    <t xml:space="preserve">73232522</t>
  </si>
  <si>
    <t xml:space="preserve">73234686</t>
  </si>
  <si>
    <t xml:space="preserve">73239897</t>
  </si>
  <si>
    <t xml:space="preserve">73239916</t>
  </si>
  <si>
    <t xml:space="preserve">73239926</t>
  </si>
  <si>
    <t xml:space="preserve">73240913</t>
  </si>
  <si>
    <t xml:space="preserve">73242557</t>
  </si>
  <si>
    <t xml:space="preserve">73242619</t>
  </si>
  <si>
    <t xml:space="preserve">73244139</t>
  </si>
  <si>
    <t xml:space="preserve">73279347</t>
  </si>
  <si>
    <t xml:space="preserve">73301547</t>
  </si>
  <si>
    <t xml:space="preserve">73301585</t>
  </si>
  <si>
    <t xml:space="preserve">73305080</t>
  </si>
  <si>
    <t xml:space="preserve">73358165</t>
  </si>
  <si>
    <t xml:space="preserve">73802595</t>
  </si>
  <si>
    <t xml:space="preserve">TOTAL</t>
  </si>
  <si>
    <t xml:space="preserve">SEQUENCING SCENARIOS — 15 RECONCILED CWOs</t>
  </si>
  <si>
    <t xml:space="preserve">Baseline = each WO standalone as priced. Campaign = corridor-grouped continuous execution. Same scope — the delta is structure.</t>
  </si>
  <si>
    <t xml:space="preserve">BASELINE (as priced)</t>
  </si>
  <si>
    <t xml:space="preserve">CAMPAIGN — 2 crews</t>
  </si>
  <si>
    <t xml:space="preserve">CAMPAIGN — 3 crews</t>
  </si>
  <si>
    <t xml:space="preserve">CAMPAIGN — 4 crews</t>
  </si>
  <si>
    <t xml:space="preserve">Mobilization events</t>
  </si>
  <si>
    <t xml:space="preserve">Construction crew-days (scope work)</t>
  </si>
  <si>
    <t xml:space="preserve">Mob/demob crew-days</t>
  </si>
  <si>
    <t xml:space="preserve">Ramp-up loss crew-days</t>
  </si>
  <si>
    <t xml:space="preserve">TOTAL crew-days</t>
  </si>
  <si>
    <t xml:space="preserve">Crews</t>
  </si>
  <si>
    <t xml:space="preserve">Calendar working days</t>
  </si>
  <si>
    <t xml:space="preserve">Calendar weeks</t>
  </si>
  <si>
    <t xml:space="preserve">Crew labor cost</t>
  </si>
  <si>
    <t xml:space="preserve">Mobilization fixed cost</t>
  </si>
  <si>
    <t xml:space="preserve">Supervision/PM (calendar-driven)</t>
  </si>
  <si>
    <t xml:space="preserve">TOTAL modeled field cost</t>
  </si>
  <si>
    <t xml:space="preserve">SAVINGS vs baseline — these 15 CWOs</t>
  </si>
  <si>
    <t xml:space="preserve">EXTRAPOLATED program savings (÷ program share)</t>
  </si>
  <si>
    <t xml:space="preserve">READ: cost savings are nearly crew-count-independent (same crew-days); crew count drives the CALENDAR (fit within the spring-to-freeze window).</t>
  </si>
  <si>
    <t xml:space="preserve">Not modeled (upside): contingency de-stacking across WOs, bulk material staging, per-WO traffic re-setups, weather-window optimization, rework avoided by EOR-verified procurement.</t>
  </si>
  <si>
    <t xml:space="preserve">Not modeled (risk): outage availability, TRK-4911 timing, crew availability, geography making assumed groupings infeasible.</t>
  </si>
  <si>
    <t xml:space="preserve">Extrapolation assumes savings scale linearly with program share — refine when the full 39-WO list is loaded.</t>
  </si>
  <si>
    <t xml:space="preserve">ILLUSTRATIVE CAMPAIGN SEQUENCE — 3 CREWS, START APR 5 2027</t>
  </si>
  <si>
    <t xml:space="preserve">Campaign groupings are SIZE-BALANCED PLACEHOLDERS (no geography yet). Dates via WORKDAY() — editing assumptions re-flows dates on recalc.</t>
  </si>
  <si>
    <t xml:space="preserve">Campaign</t>
  </si>
  <si>
    <t xml:space="preserve">Crew</t>
  </si>
  <si>
    <t xml:space="preserve">Crew-Days (uplifted)</t>
  </si>
  <si>
    <t xml:space="preserve">Start</t>
  </si>
  <si>
    <t xml:space="preserve">Finish</t>
  </si>
  <si>
    <t xml:space="preserve">C1</t>
  </si>
  <si>
    <t xml:space="preserve">Crew 1</t>
  </si>
  <si>
    <t xml:space="preserve">C2</t>
  </si>
  <si>
    <t xml:space="preserve">Crew 2</t>
  </si>
  <si>
    <t xml:space="preserve">C3</t>
  </si>
  <si>
    <t xml:space="preserve">Crew 3</t>
  </si>
  <si>
    <t xml:space="preserve">C4</t>
  </si>
  <si>
    <t xml:space="preserve">Per-campaign mob (2 crew-days) applies at campaign boundaries; cutover/restoration included in durations. All open-order material dates (Sept-Nov 2026) clear the Apr 2027 start.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</si>
</sst>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"/>
    <numFmt numFmtId="167" formatCode="0%"/>
    <numFmt numFmtId="168" formatCode="mm/dd/yyyy"/>
    <numFmt numFmtId="169" formatCode="0.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D0171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D017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93939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171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93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6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2.5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4000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4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1</v>
      </c>
      <c r="C8" s="7" t="s">
        <v>10</v>
      </c>
    </row>
    <row r="9" customFormat="false" ht="15" hidden="false" customHeight="true" outlineLevel="0" collapsed="false">
      <c r="A9" s="5" t="s">
        <v>11</v>
      </c>
      <c r="B9" s="8" t="n">
        <v>0.1</v>
      </c>
      <c r="C9" s="7" t="s">
        <v>12</v>
      </c>
    </row>
    <row r="10" customFormat="false" ht="15" hidden="false" customHeight="true" outlineLevel="0" collapsed="false">
      <c r="A10" s="4" t="s">
        <v>13</v>
      </c>
    </row>
    <row r="11" customFormat="false" ht="15" hidden="false" customHeight="true" outlineLevel="0" collapsed="false">
      <c r="A11" s="5" t="s">
        <v>14</v>
      </c>
      <c r="B11" s="6" t="n">
        <v>2</v>
      </c>
      <c r="C11" s="7" t="s">
        <v>15</v>
      </c>
    </row>
    <row r="12" customFormat="false" ht="15" hidden="false" customHeight="true" outlineLevel="0" collapsed="false">
      <c r="A12" s="5" t="s">
        <v>16</v>
      </c>
      <c r="B12" s="9" t="n">
        <v>7500</v>
      </c>
      <c r="C12" s="7" t="s">
        <v>17</v>
      </c>
    </row>
    <row r="13" customFormat="false" ht="15" hidden="false" customHeight="true" outlineLevel="0" collapsed="false">
      <c r="A13" s="5" t="s">
        <v>18</v>
      </c>
      <c r="B13" s="6" t="n">
        <v>0.8</v>
      </c>
      <c r="C13" s="7" t="s">
        <v>19</v>
      </c>
    </row>
    <row r="14" customFormat="false" ht="15" hidden="false" customHeight="true" outlineLevel="0" collapsed="false">
      <c r="A14" s="5" t="s">
        <v>20</v>
      </c>
      <c r="B14" s="9" t="n">
        <v>8500</v>
      </c>
      <c r="C14" s="7" t="s">
        <v>21</v>
      </c>
    </row>
    <row r="15" customFormat="false" ht="15" hidden="false" customHeight="true" outlineLevel="0" collapsed="false">
      <c r="A15" s="5" t="s">
        <v>22</v>
      </c>
      <c r="B15" s="9" t="n">
        <v>6000</v>
      </c>
      <c r="C15" s="7" t="s">
        <v>23</v>
      </c>
    </row>
    <row r="16" customFormat="false" ht="15" hidden="false" customHeight="true" outlineLevel="0" collapsed="false">
      <c r="A16" s="4" t="s">
        <v>24</v>
      </c>
    </row>
    <row r="17" customFormat="false" ht="15" hidden="false" customHeight="true" outlineLevel="0" collapsed="false">
      <c r="A17" s="5" t="s">
        <v>25</v>
      </c>
      <c r="B17" s="8" t="n">
        <v>0.08</v>
      </c>
      <c r="C17" s="7" t="s">
        <v>26</v>
      </c>
    </row>
    <row r="18" customFormat="false" ht="15" hidden="false" customHeight="true" outlineLevel="0" collapsed="false">
      <c r="A18" s="5" t="s">
        <v>27</v>
      </c>
      <c r="B18" s="6" t="n">
        <v>4</v>
      </c>
      <c r="C18" s="7" t="s">
        <v>28</v>
      </c>
    </row>
    <row r="19" customFormat="false" ht="15" hidden="false" customHeight="true" outlineLevel="0" collapsed="false">
      <c r="A19" s="4" t="s">
        <v>29</v>
      </c>
    </row>
    <row r="20" customFormat="false" ht="15" hidden="false" customHeight="true" outlineLevel="0" collapsed="false">
      <c r="A20" s="5" t="s">
        <v>30</v>
      </c>
      <c r="B20" s="10" t="n">
        <v>0.95</v>
      </c>
      <c r="C20" s="7" t="s">
        <v>31</v>
      </c>
    </row>
    <row r="21" customFormat="false" ht="15" hidden="false" customHeight="true" outlineLevel="0" collapsed="false">
      <c r="A21" s="4" t="s">
        <v>32</v>
      </c>
    </row>
    <row r="22" customFormat="false" ht="15" hidden="false" customHeight="true" outlineLevel="0" collapsed="false">
      <c r="A22" s="5" t="s">
        <v>33</v>
      </c>
      <c r="B22" s="11" t="n">
        <v>46482</v>
      </c>
      <c r="C22" s="7" t="s">
        <v>34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</row>
    <row r="26" customFormat="false" ht="15" hidden="false" customHeight="true" outlineLevel="0" collapsed="false">
      <c r="A26" s="5" t="s">
        <v>37</v>
      </c>
    </row>
    <row r="27" customFormat="false" ht="15" hidden="false" customHeight="true" outlineLevel="0" collapsed="false">
      <c r="A27" s="5" t="s">
        <v>38</v>
      </c>
    </row>
    <row r="28" customFormat="false" ht="15" hidden="false" customHeight="true" outlineLevel="0" collapsed="false">
      <c r="A28" s="5" t="s">
        <v>39</v>
      </c>
    </row>
    <row r="29" customFormat="false" ht="15" hidden="false" customHeight="true" outlineLevel="0" collapsed="false">
      <c r="A29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1"/>
    <col collapsed="false" customWidth="true" hidden="false" outlineLevel="0" max="14" min="14" style="1" width="12"/>
  </cols>
  <sheetData>
    <row r="1" customFormat="false" ht="23.25" hidden="false" customHeight="true" outlineLevel="0" collapsed="false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</row>
    <row r="2" customFormat="false" ht="15" hidden="false" customHeight="true" outlineLevel="0" collapsed="false">
      <c r="A2" s="5" t="s">
        <v>55</v>
      </c>
      <c r="B2" s="13" t="n">
        <v>30</v>
      </c>
      <c r="C2" s="13" t="n">
        <v>9776</v>
      </c>
      <c r="D2" s="13" t="n">
        <v>12</v>
      </c>
      <c r="E2" s="14" t="n">
        <v>143455.15</v>
      </c>
      <c r="F2" s="15" t="n">
        <f aca="false">B2/Assumptions!$B$5</f>
        <v>12</v>
      </c>
      <c r="G2" s="15" t="n">
        <f aca="false">C2/Assumptions!$B$6</f>
        <v>2.444</v>
      </c>
      <c r="H2" s="15" t="n">
        <f aca="false">D2/Assumptions!$B$7</f>
        <v>3</v>
      </c>
      <c r="I2" s="15" t="n">
        <f aca="false">IF(B2&gt;0,Assumptions!$B$8,0)</f>
        <v>1</v>
      </c>
      <c r="J2" s="15" t="n">
        <f aca="false">(F2+G2+H2)*Assumptions!$B$9</f>
        <v>1.7444</v>
      </c>
      <c r="K2" s="16" t="n">
        <f aca="false">F2+G2+H2+I2+J2</f>
        <v>20.1884</v>
      </c>
      <c r="L2" s="15" t="n">
        <f aca="false">Assumptions!$B$11</f>
        <v>2</v>
      </c>
      <c r="M2" s="15" t="n">
        <f aca="false">Assumptions!$B$13</f>
        <v>0.8</v>
      </c>
      <c r="N2" s="16" t="n">
        <f aca="false">K2+L2+M2</f>
        <v>22.9884</v>
      </c>
    </row>
    <row r="3" customFormat="false" ht="15" hidden="false" customHeight="true" outlineLevel="0" collapsed="false">
      <c r="A3" s="5" t="s">
        <v>56</v>
      </c>
      <c r="B3" s="13" t="n">
        <v>23</v>
      </c>
      <c r="C3" s="13" t="n">
        <v>8311</v>
      </c>
      <c r="D3" s="13" t="n">
        <v>9</v>
      </c>
      <c r="E3" s="14" t="n">
        <v>114600.29</v>
      </c>
      <c r="F3" s="15" t="n">
        <f aca="false">B3/Assumptions!$B$5</f>
        <v>9.2</v>
      </c>
      <c r="G3" s="15" t="n">
        <f aca="false">C3/Assumptions!$B$6</f>
        <v>2.07775</v>
      </c>
      <c r="H3" s="15" t="n">
        <f aca="false">D3/Assumptions!$B$7</f>
        <v>2.25</v>
      </c>
      <c r="I3" s="15" t="n">
        <f aca="false">IF(B3&gt;0,Assumptions!$B$8,0)</f>
        <v>1</v>
      </c>
      <c r="J3" s="15" t="n">
        <f aca="false">(F3+G3+H3)*Assumptions!$B$9</f>
        <v>1.352775</v>
      </c>
      <c r="K3" s="16" t="n">
        <f aca="false">F3+G3+H3+I3+J3</f>
        <v>15.880525</v>
      </c>
      <c r="L3" s="15" t="n">
        <f aca="false">Assumptions!$B$11</f>
        <v>2</v>
      </c>
      <c r="M3" s="15" t="n">
        <f aca="false">Assumptions!$B$13</f>
        <v>0.8</v>
      </c>
      <c r="N3" s="16" t="n">
        <f aca="false">K3+L3+M3</f>
        <v>18.680525</v>
      </c>
    </row>
    <row r="4" customFormat="false" ht="15" hidden="false" customHeight="true" outlineLevel="0" collapsed="false">
      <c r="A4" s="5" t="s">
        <v>57</v>
      </c>
      <c r="B4" s="13" t="n">
        <v>25</v>
      </c>
      <c r="C4" s="13" t="n">
        <v>5946</v>
      </c>
      <c r="D4" s="13" t="n">
        <v>7</v>
      </c>
      <c r="E4" s="14" t="n">
        <v>113119.61</v>
      </c>
      <c r="F4" s="15" t="n">
        <f aca="false">B4/Assumptions!$B$5</f>
        <v>10</v>
      </c>
      <c r="G4" s="15" t="n">
        <f aca="false">C4/Assumptions!$B$6</f>
        <v>1.4865</v>
      </c>
      <c r="H4" s="15" t="n">
        <f aca="false">D4/Assumptions!$B$7</f>
        <v>1.75</v>
      </c>
      <c r="I4" s="15" t="n">
        <f aca="false">IF(B4&gt;0,Assumptions!$B$8,0)</f>
        <v>1</v>
      </c>
      <c r="J4" s="15" t="n">
        <f aca="false">(F4+G4+H4)*Assumptions!$B$9</f>
        <v>1.32365</v>
      </c>
      <c r="K4" s="16" t="n">
        <f aca="false">F4+G4+H4+I4+J4</f>
        <v>15.56015</v>
      </c>
      <c r="L4" s="15" t="n">
        <f aca="false">Assumptions!$B$11</f>
        <v>2</v>
      </c>
      <c r="M4" s="15" t="n">
        <f aca="false">Assumptions!$B$13</f>
        <v>0.8</v>
      </c>
      <c r="N4" s="16" t="n">
        <f aca="false">K4+L4+M4</f>
        <v>18.36015</v>
      </c>
    </row>
    <row r="5" customFormat="false" ht="15" hidden="false" customHeight="true" outlineLevel="0" collapsed="false">
      <c r="A5" s="5" t="s">
        <v>58</v>
      </c>
      <c r="B5" s="13" t="n">
        <v>33</v>
      </c>
      <c r="C5" s="13" t="n">
        <v>6580</v>
      </c>
      <c r="D5" s="13" t="n">
        <v>13</v>
      </c>
      <c r="E5" s="14" t="n">
        <v>181388.96</v>
      </c>
      <c r="F5" s="15" t="n">
        <f aca="false">B5/Assumptions!$B$5</f>
        <v>13.2</v>
      </c>
      <c r="G5" s="15" t="n">
        <f aca="false">C5/Assumptions!$B$6</f>
        <v>1.645</v>
      </c>
      <c r="H5" s="15" t="n">
        <f aca="false">D5/Assumptions!$B$7</f>
        <v>3.25</v>
      </c>
      <c r="I5" s="15" t="n">
        <f aca="false">IF(B5&gt;0,Assumptions!$B$8,0)</f>
        <v>1</v>
      </c>
      <c r="J5" s="15" t="n">
        <f aca="false">(F5+G5+H5)*Assumptions!$B$9</f>
        <v>1.8095</v>
      </c>
      <c r="K5" s="16" t="n">
        <f aca="false">F5+G5+H5+I5+J5</f>
        <v>20.9045</v>
      </c>
      <c r="L5" s="15" t="n">
        <f aca="false">Assumptions!$B$11</f>
        <v>2</v>
      </c>
      <c r="M5" s="15" t="n">
        <f aca="false">Assumptions!$B$13</f>
        <v>0.8</v>
      </c>
      <c r="N5" s="16" t="n">
        <f aca="false">K5+L5+M5</f>
        <v>23.7045</v>
      </c>
    </row>
    <row r="6" customFormat="false" ht="15" hidden="false" customHeight="true" outlineLevel="0" collapsed="false">
      <c r="A6" s="5" t="s">
        <v>59</v>
      </c>
      <c r="B6" s="13" t="n">
        <v>25</v>
      </c>
      <c r="C6" s="13" t="n">
        <v>6114</v>
      </c>
      <c r="D6" s="13" t="n">
        <v>5</v>
      </c>
      <c r="E6" s="14" t="n">
        <v>107363.49</v>
      </c>
      <c r="F6" s="15" t="n">
        <f aca="false">B6/Assumptions!$B$5</f>
        <v>10</v>
      </c>
      <c r="G6" s="15" t="n">
        <f aca="false">C6/Assumptions!$B$6</f>
        <v>1.5285</v>
      </c>
      <c r="H6" s="15" t="n">
        <f aca="false">D6/Assumptions!$B$7</f>
        <v>1.25</v>
      </c>
      <c r="I6" s="15" t="n">
        <f aca="false">IF(B6&gt;0,Assumptions!$B$8,0)</f>
        <v>1</v>
      </c>
      <c r="J6" s="15" t="n">
        <f aca="false">(F6+G6+H6)*Assumptions!$B$9</f>
        <v>1.27785</v>
      </c>
      <c r="K6" s="16" t="n">
        <f aca="false">F6+G6+H6+I6+J6</f>
        <v>15.05635</v>
      </c>
      <c r="L6" s="15" t="n">
        <f aca="false">Assumptions!$B$11</f>
        <v>2</v>
      </c>
      <c r="M6" s="15" t="n">
        <f aca="false">Assumptions!$B$13</f>
        <v>0.8</v>
      </c>
      <c r="N6" s="16" t="n">
        <f aca="false">K6+L6+M6</f>
        <v>17.85635</v>
      </c>
    </row>
    <row r="7" customFormat="false" ht="15" hidden="false" customHeight="true" outlineLevel="0" collapsed="false">
      <c r="A7" s="5" t="s">
        <v>60</v>
      </c>
      <c r="B7" s="13" t="n">
        <v>36</v>
      </c>
      <c r="C7" s="13" t="n">
        <v>22026</v>
      </c>
      <c r="D7" s="13" t="n">
        <v>9</v>
      </c>
      <c r="E7" s="14" t="n">
        <v>193534.58</v>
      </c>
      <c r="F7" s="15" t="n">
        <f aca="false">B7/Assumptions!$B$5</f>
        <v>14.4</v>
      </c>
      <c r="G7" s="15" t="n">
        <f aca="false">C7/Assumptions!$B$6</f>
        <v>5.5065</v>
      </c>
      <c r="H7" s="15" t="n">
        <f aca="false">D7/Assumptions!$B$7</f>
        <v>2.25</v>
      </c>
      <c r="I7" s="15" t="n">
        <f aca="false">IF(B7&gt;0,Assumptions!$B$8,0)</f>
        <v>1</v>
      </c>
      <c r="J7" s="15" t="n">
        <f aca="false">(F7+G7+H7)*Assumptions!$B$9</f>
        <v>2.21565</v>
      </c>
      <c r="K7" s="16" t="n">
        <f aca="false">F7+G7+H7+I7+J7</f>
        <v>25.37215</v>
      </c>
      <c r="L7" s="15" t="n">
        <f aca="false">Assumptions!$B$11</f>
        <v>2</v>
      </c>
      <c r="M7" s="15" t="n">
        <f aca="false">Assumptions!$B$13</f>
        <v>0.8</v>
      </c>
      <c r="N7" s="16" t="n">
        <f aca="false">K7+L7+M7</f>
        <v>28.17215</v>
      </c>
    </row>
    <row r="8" customFormat="false" ht="15" hidden="false" customHeight="true" outlineLevel="0" collapsed="false">
      <c r="A8" s="5" t="s">
        <v>61</v>
      </c>
      <c r="B8" s="13" t="n">
        <v>20</v>
      </c>
      <c r="C8" s="13" t="n">
        <v>4757</v>
      </c>
      <c r="D8" s="13" t="n">
        <v>4</v>
      </c>
      <c r="E8" s="14" t="n">
        <v>66525.33</v>
      </c>
      <c r="F8" s="15" t="n">
        <f aca="false">B8/Assumptions!$B$5</f>
        <v>8</v>
      </c>
      <c r="G8" s="15" t="n">
        <f aca="false">C8/Assumptions!$B$6</f>
        <v>1.18925</v>
      </c>
      <c r="H8" s="15" t="n">
        <f aca="false">D8/Assumptions!$B$7</f>
        <v>1</v>
      </c>
      <c r="I8" s="15" t="n">
        <f aca="false">IF(B8&gt;0,Assumptions!$B$8,0)</f>
        <v>1</v>
      </c>
      <c r="J8" s="15" t="n">
        <f aca="false">(F8+G8+H8)*Assumptions!$B$9</f>
        <v>1.018925</v>
      </c>
      <c r="K8" s="16" t="n">
        <f aca="false">F8+G8+H8+I8+J8</f>
        <v>12.208175</v>
      </c>
      <c r="L8" s="15" t="n">
        <f aca="false">Assumptions!$B$11</f>
        <v>2</v>
      </c>
      <c r="M8" s="15" t="n">
        <f aca="false">Assumptions!$B$13</f>
        <v>0.8</v>
      </c>
      <c r="N8" s="16" t="n">
        <f aca="false">K8+L8+M8</f>
        <v>15.008175</v>
      </c>
    </row>
    <row r="9" customFormat="false" ht="15" hidden="false" customHeight="true" outlineLevel="0" collapsed="false">
      <c r="A9" s="5" t="s">
        <v>62</v>
      </c>
      <c r="B9" s="13" t="n">
        <v>18</v>
      </c>
      <c r="C9" s="13" t="n">
        <v>8446</v>
      </c>
      <c r="D9" s="13" t="n">
        <v>6</v>
      </c>
      <c r="E9" s="14" t="n">
        <v>65028.72</v>
      </c>
      <c r="F9" s="15" t="n">
        <f aca="false">B9/Assumptions!$B$5</f>
        <v>7.2</v>
      </c>
      <c r="G9" s="15" t="n">
        <f aca="false">C9/Assumptions!$B$6</f>
        <v>2.1115</v>
      </c>
      <c r="H9" s="15" t="n">
        <f aca="false">D9/Assumptions!$B$7</f>
        <v>1.5</v>
      </c>
      <c r="I9" s="15" t="n">
        <f aca="false">IF(B9&gt;0,Assumptions!$B$8,0)</f>
        <v>1</v>
      </c>
      <c r="J9" s="15" t="n">
        <f aca="false">(F9+G9+H9)*Assumptions!$B$9</f>
        <v>1.08115</v>
      </c>
      <c r="K9" s="16" t="n">
        <f aca="false">F9+G9+H9+I9+J9</f>
        <v>12.89265</v>
      </c>
      <c r="L9" s="15" t="n">
        <f aca="false">Assumptions!$B$11</f>
        <v>2</v>
      </c>
      <c r="M9" s="15" t="n">
        <f aca="false">Assumptions!$B$13</f>
        <v>0.8</v>
      </c>
      <c r="N9" s="16" t="n">
        <f aca="false">K9+L9+M9</f>
        <v>15.69265</v>
      </c>
    </row>
    <row r="10" customFormat="false" ht="15" hidden="false" customHeight="true" outlineLevel="0" collapsed="false">
      <c r="A10" s="5" t="s">
        <v>63</v>
      </c>
      <c r="B10" s="13" t="n">
        <v>38</v>
      </c>
      <c r="C10" s="13" t="n">
        <v>8978</v>
      </c>
      <c r="D10" s="13" t="n">
        <v>6</v>
      </c>
      <c r="E10" s="14" t="n">
        <v>102398.73</v>
      </c>
      <c r="F10" s="15" t="n">
        <f aca="false">B10/Assumptions!$B$5</f>
        <v>15.2</v>
      </c>
      <c r="G10" s="15" t="n">
        <f aca="false">C10/Assumptions!$B$6</f>
        <v>2.2445</v>
      </c>
      <c r="H10" s="15" t="n">
        <f aca="false">D10/Assumptions!$B$7</f>
        <v>1.5</v>
      </c>
      <c r="I10" s="15" t="n">
        <f aca="false">IF(B10&gt;0,Assumptions!$B$8,0)</f>
        <v>1</v>
      </c>
      <c r="J10" s="15" t="n">
        <f aca="false">(F10+G10+H10)*Assumptions!$B$9</f>
        <v>1.89445</v>
      </c>
      <c r="K10" s="16" t="n">
        <f aca="false">F10+G10+H10+I10+J10</f>
        <v>21.83895</v>
      </c>
      <c r="L10" s="15" t="n">
        <f aca="false">Assumptions!$B$11</f>
        <v>2</v>
      </c>
      <c r="M10" s="15" t="n">
        <f aca="false">Assumptions!$B$13</f>
        <v>0.8</v>
      </c>
      <c r="N10" s="16" t="n">
        <f aca="false">K10+L10+M10</f>
        <v>24.63895</v>
      </c>
    </row>
    <row r="11" customFormat="false" ht="15" hidden="false" customHeight="true" outlineLevel="0" collapsed="false">
      <c r="A11" s="5" t="s">
        <v>64</v>
      </c>
      <c r="B11" s="13" t="n">
        <v>0</v>
      </c>
      <c r="C11" s="13" t="n">
        <v>145</v>
      </c>
      <c r="D11" s="13" t="n">
        <v>0</v>
      </c>
      <c r="E11" s="14" t="n">
        <v>25975.2</v>
      </c>
      <c r="F11" s="15" t="n">
        <f aca="false">B11/Assumptions!$B$5</f>
        <v>0</v>
      </c>
      <c r="G11" s="15" t="n">
        <f aca="false">C11/Assumptions!$B$6</f>
        <v>0.03625</v>
      </c>
      <c r="H11" s="15" t="n">
        <f aca="false">D11/Assumptions!$B$7</f>
        <v>0</v>
      </c>
      <c r="I11" s="15" t="n">
        <f aca="false">IF(B11&gt;0,Assumptions!$B$8,0)</f>
        <v>0</v>
      </c>
      <c r="J11" s="15" t="n">
        <f aca="false">(F11+G11+H11)*Assumptions!$B$9</f>
        <v>0.003625</v>
      </c>
      <c r="K11" s="16" t="n">
        <f aca="false">F11+G11+H11+I11+J11</f>
        <v>0.039875</v>
      </c>
      <c r="L11" s="15" t="n">
        <f aca="false">Assumptions!$B$11</f>
        <v>2</v>
      </c>
      <c r="M11" s="15" t="n">
        <f aca="false">Assumptions!$B$13</f>
        <v>0.8</v>
      </c>
      <c r="N11" s="16" t="n">
        <f aca="false">K11+L11+M11</f>
        <v>2.839875</v>
      </c>
    </row>
    <row r="12" customFormat="false" ht="15" hidden="false" customHeight="true" outlineLevel="0" collapsed="false">
      <c r="A12" s="5" t="s">
        <v>65</v>
      </c>
      <c r="B12" s="13" t="n">
        <v>32</v>
      </c>
      <c r="C12" s="13" t="n">
        <v>13450</v>
      </c>
      <c r="D12" s="13" t="n">
        <v>6</v>
      </c>
      <c r="E12" s="14" t="n">
        <v>93529.72</v>
      </c>
      <c r="F12" s="15" t="n">
        <f aca="false">B12/Assumptions!$B$5</f>
        <v>12.8</v>
      </c>
      <c r="G12" s="15" t="n">
        <f aca="false">C12/Assumptions!$B$6</f>
        <v>3.3625</v>
      </c>
      <c r="H12" s="15" t="n">
        <f aca="false">D12/Assumptions!$B$7</f>
        <v>1.5</v>
      </c>
      <c r="I12" s="15" t="n">
        <f aca="false">IF(B12&gt;0,Assumptions!$B$8,0)</f>
        <v>1</v>
      </c>
      <c r="J12" s="15" t="n">
        <f aca="false">(F12+G12+H12)*Assumptions!$B$9</f>
        <v>1.76625</v>
      </c>
      <c r="K12" s="16" t="n">
        <f aca="false">F12+G12+H12+I12+J12</f>
        <v>20.42875</v>
      </c>
      <c r="L12" s="15" t="n">
        <f aca="false">Assumptions!$B$11</f>
        <v>2</v>
      </c>
      <c r="M12" s="15" t="n">
        <f aca="false">Assumptions!$B$13</f>
        <v>0.8</v>
      </c>
      <c r="N12" s="16" t="n">
        <f aca="false">K12+L12+M12</f>
        <v>23.22875</v>
      </c>
    </row>
    <row r="13" customFormat="false" ht="15" hidden="false" customHeight="true" outlineLevel="0" collapsed="false">
      <c r="A13" s="5" t="s">
        <v>66</v>
      </c>
      <c r="B13" s="13" t="n">
        <v>33</v>
      </c>
      <c r="C13" s="13" t="n">
        <v>16885</v>
      </c>
      <c r="D13" s="13" t="n">
        <v>3</v>
      </c>
      <c r="E13" s="14" t="n">
        <v>84563.74</v>
      </c>
      <c r="F13" s="15" t="n">
        <f aca="false">B13/Assumptions!$B$5</f>
        <v>13.2</v>
      </c>
      <c r="G13" s="15" t="n">
        <f aca="false">C13/Assumptions!$B$6</f>
        <v>4.22125</v>
      </c>
      <c r="H13" s="15" t="n">
        <f aca="false">D13/Assumptions!$B$7</f>
        <v>0.75</v>
      </c>
      <c r="I13" s="15" t="n">
        <f aca="false">IF(B13&gt;0,Assumptions!$B$8,0)</f>
        <v>1</v>
      </c>
      <c r="J13" s="15" t="n">
        <f aca="false">(F13+G13+H13)*Assumptions!$B$9</f>
        <v>1.817125</v>
      </c>
      <c r="K13" s="16" t="n">
        <f aca="false">F13+G13+H13+I13+J13</f>
        <v>20.988375</v>
      </c>
      <c r="L13" s="15" t="n">
        <f aca="false">Assumptions!$B$11</f>
        <v>2</v>
      </c>
      <c r="M13" s="15" t="n">
        <f aca="false">Assumptions!$B$13</f>
        <v>0.8</v>
      </c>
      <c r="N13" s="16" t="n">
        <f aca="false">K13+L13+M13</f>
        <v>23.788375</v>
      </c>
    </row>
    <row r="14" customFormat="false" ht="15" hidden="false" customHeight="true" outlineLevel="0" collapsed="false">
      <c r="A14" s="5" t="s">
        <v>67</v>
      </c>
      <c r="B14" s="13" t="n">
        <v>15</v>
      </c>
      <c r="C14" s="13" t="n">
        <v>10960</v>
      </c>
      <c r="D14" s="13" t="n">
        <v>0</v>
      </c>
      <c r="E14" s="14" t="n">
        <v>36177.1</v>
      </c>
      <c r="F14" s="15" t="n">
        <f aca="false">B14/Assumptions!$B$5</f>
        <v>6</v>
      </c>
      <c r="G14" s="15" t="n">
        <f aca="false">C14/Assumptions!$B$6</f>
        <v>2.74</v>
      </c>
      <c r="H14" s="15" t="n">
        <f aca="false">D14/Assumptions!$B$7</f>
        <v>0</v>
      </c>
      <c r="I14" s="15" t="n">
        <f aca="false">IF(B14&gt;0,Assumptions!$B$8,0)</f>
        <v>1</v>
      </c>
      <c r="J14" s="15" t="n">
        <f aca="false">(F14+G14+H14)*Assumptions!$B$9</f>
        <v>0.874</v>
      </c>
      <c r="K14" s="16" t="n">
        <f aca="false">F14+G14+H14+I14+J14</f>
        <v>10.614</v>
      </c>
      <c r="L14" s="15" t="n">
        <f aca="false">Assumptions!$B$11</f>
        <v>2</v>
      </c>
      <c r="M14" s="15" t="n">
        <f aca="false">Assumptions!$B$13</f>
        <v>0.8</v>
      </c>
      <c r="N14" s="16" t="n">
        <f aca="false">K14+L14+M14</f>
        <v>13.414</v>
      </c>
    </row>
    <row r="15" customFormat="false" ht="15" hidden="false" customHeight="true" outlineLevel="0" collapsed="false">
      <c r="A15" s="5" t="s">
        <v>68</v>
      </c>
      <c r="B15" s="13" t="n">
        <v>3</v>
      </c>
      <c r="C15" s="13" t="n">
        <v>668</v>
      </c>
      <c r="D15" s="13" t="n">
        <v>0</v>
      </c>
      <c r="E15" s="14" t="n">
        <v>7005.13</v>
      </c>
      <c r="F15" s="15" t="n">
        <f aca="false">B15/Assumptions!$B$5</f>
        <v>1.2</v>
      </c>
      <c r="G15" s="15" t="n">
        <f aca="false">C15/Assumptions!$B$6</f>
        <v>0.167</v>
      </c>
      <c r="H15" s="15" t="n">
        <f aca="false">D15/Assumptions!$B$7</f>
        <v>0</v>
      </c>
      <c r="I15" s="15" t="n">
        <f aca="false">IF(B15&gt;0,Assumptions!$B$8,0)</f>
        <v>1</v>
      </c>
      <c r="J15" s="15" t="n">
        <f aca="false">(F15+G15+H15)*Assumptions!$B$9</f>
        <v>0.1367</v>
      </c>
      <c r="K15" s="16" t="n">
        <f aca="false">F15+G15+H15+I15+J15</f>
        <v>2.5037</v>
      </c>
      <c r="L15" s="15" t="n">
        <f aca="false">Assumptions!$B$11</f>
        <v>2</v>
      </c>
      <c r="M15" s="15" t="n">
        <f aca="false">Assumptions!$B$13</f>
        <v>0.8</v>
      </c>
      <c r="N15" s="16" t="n">
        <f aca="false">K15+L15+M15</f>
        <v>5.3037</v>
      </c>
    </row>
    <row r="16" customFormat="false" ht="15" hidden="false" customHeight="true" outlineLevel="0" collapsed="false">
      <c r="A16" s="5" t="s">
        <v>69</v>
      </c>
      <c r="B16" s="13" t="n">
        <v>1</v>
      </c>
      <c r="C16" s="13" t="n">
        <v>17247</v>
      </c>
      <c r="D16" s="13" t="n">
        <v>4</v>
      </c>
      <c r="E16" s="14" t="n">
        <v>43971.25</v>
      </c>
      <c r="F16" s="15" t="n">
        <f aca="false">B16/Assumptions!$B$5</f>
        <v>0.4</v>
      </c>
      <c r="G16" s="15" t="n">
        <f aca="false">C16/Assumptions!$B$6</f>
        <v>4.31175</v>
      </c>
      <c r="H16" s="15" t="n">
        <f aca="false">D16/Assumptions!$B$7</f>
        <v>1</v>
      </c>
      <c r="I16" s="15" t="n">
        <f aca="false">IF(B16&gt;0,Assumptions!$B$8,0)</f>
        <v>1</v>
      </c>
      <c r="J16" s="15" t="n">
        <f aca="false">(F16+G16+H16)*Assumptions!$B$9</f>
        <v>0.571175</v>
      </c>
      <c r="K16" s="16" t="n">
        <f aca="false">F16+G16+H16+I16+J16</f>
        <v>7.282925</v>
      </c>
      <c r="L16" s="15" t="n">
        <f aca="false">Assumptions!$B$11</f>
        <v>2</v>
      </c>
      <c r="M16" s="15" t="n">
        <f aca="false">Assumptions!$B$13</f>
        <v>0.8</v>
      </c>
      <c r="N16" s="16" t="n">
        <f aca="false">K16+L16+M16</f>
        <v>10.082925</v>
      </c>
    </row>
    <row r="17" customFormat="false" ht="15" hidden="false" customHeight="true" outlineLevel="0" collapsed="false">
      <c r="A17" s="17" t="s">
        <v>70</v>
      </c>
      <c r="B17" s="16" t="n">
        <f aca="false">SUM(B2:B16)</f>
        <v>332</v>
      </c>
      <c r="C17" s="16" t="n">
        <f aca="false">SUM(C2:C16)</f>
        <v>140289</v>
      </c>
      <c r="D17" s="16" t="n">
        <f aca="false">SUM(D2:D16)</f>
        <v>84</v>
      </c>
      <c r="E17" s="18" t="n">
        <f aca="false">SUM(E2:E16)</f>
        <v>1378637</v>
      </c>
      <c r="F17" s="16" t="n">
        <f aca="false">SUM(F2:F16)</f>
        <v>132.8</v>
      </c>
      <c r="G17" s="16" t="n">
        <f aca="false">SUM(G2:G16)</f>
        <v>35.07225</v>
      </c>
      <c r="H17" s="16" t="n">
        <f aca="false">SUM(H2:H16)</f>
        <v>21</v>
      </c>
      <c r="I17" s="16" t="n">
        <f aca="false">SUM(I2:I16)</f>
        <v>14</v>
      </c>
      <c r="J17" s="16" t="n">
        <f aca="false">SUM(J2:J16)</f>
        <v>18.887225</v>
      </c>
      <c r="K17" s="16" t="n">
        <f aca="false">SUM(K2:K16)</f>
        <v>221.759475</v>
      </c>
      <c r="L17" s="16" t="n">
        <f aca="false">SUM(L2:L16)</f>
        <v>30</v>
      </c>
      <c r="M17" s="16" t="n">
        <f aca="false">SUM(M2:M16)</f>
        <v>12</v>
      </c>
      <c r="N17" s="16" t="n">
        <f aca="false">SUM(N2:N16)</f>
        <v>263.759475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6"/>
  </cols>
  <sheetData>
    <row r="1" customFormat="false" ht="15.7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72</v>
      </c>
    </row>
    <row r="3" customFormat="false" ht="15" hidden="false" customHeight="true" outlineLevel="0" collapsed="false">
      <c r="A3" s="19"/>
      <c r="B3" s="19" t="s">
        <v>73</v>
      </c>
      <c r="C3" s="19" t="s">
        <v>74</v>
      </c>
      <c r="D3" s="19" t="s">
        <v>75</v>
      </c>
      <c r="E3" s="19" t="s">
        <v>76</v>
      </c>
    </row>
    <row r="4" customFormat="false" ht="15" hidden="false" customHeight="true" outlineLevel="0" collapsed="false">
      <c r="A4" s="5" t="s">
        <v>77</v>
      </c>
      <c r="B4" s="20" t="n">
        <f aca="false">15</f>
        <v>15</v>
      </c>
      <c r="C4" s="20" t="n">
        <f aca="false">MAX(Assumptions!$B$18,2)</f>
        <v>4</v>
      </c>
      <c r="D4" s="20" t="n">
        <f aca="false">MAX(Assumptions!$B$18,3)</f>
        <v>4</v>
      </c>
      <c r="E4" s="20" t="n">
        <f aca="false">MAX(Assumptions!$B$18,4)</f>
        <v>4</v>
      </c>
    </row>
    <row r="5" customFormat="false" ht="15" hidden="false" customHeight="true" outlineLevel="0" collapsed="false">
      <c r="A5" s="5" t="s">
        <v>78</v>
      </c>
      <c r="B5" s="15" t="n">
        <f aca="false">'Scope &amp; Durations'!K17</f>
        <v>221.759475</v>
      </c>
      <c r="C5" s="15" t="n">
        <f aca="false">'Scope &amp; Durations'!K17*(1-Assumptions!$B$17)</f>
        <v>204.018717</v>
      </c>
      <c r="D5" s="15" t="n">
        <f aca="false">'Scope &amp; Durations'!K17*(1-Assumptions!$B$17)</f>
        <v>204.018717</v>
      </c>
      <c r="E5" s="15" t="n">
        <f aca="false">'Scope &amp; Durations'!K17*(1-Assumptions!$B$17)</f>
        <v>204.018717</v>
      </c>
    </row>
    <row r="6" customFormat="false" ht="15" hidden="false" customHeight="true" outlineLevel="0" collapsed="false">
      <c r="A6" s="5" t="s">
        <v>79</v>
      </c>
      <c r="B6" s="15" t="n">
        <f aca="false">B4*Assumptions!$B$11</f>
        <v>30</v>
      </c>
      <c r="C6" s="15" t="n">
        <f aca="false">C4*Assumptions!$B$11</f>
        <v>8</v>
      </c>
      <c r="D6" s="15" t="n">
        <f aca="false">D4*Assumptions!$B$11</f>
        <v>8</v>
      </c>
      <c r="E6" s="15" t="n">
        <f aca="false">E4*Assumptions!$B$11</f>
        <v>8</v>
      </c>
    </row>
    <row r="7" customFormat="false" ht="15" hidden="false" customHeight="true" outlineLevel="0" collapsed="false">
      <c r="A7" s="5" t="s">
        <v>80</v>
      </c>
      <c r="B7" s="15" t="n">
        <f aca="false">B4*Assumptions!$B$13</f>
        <v>12</v>
      </c>
      <c r="C7" s="15" t="n">
        <f aca="false">C4*Assumptions!$B$13</f>
        <v>3.2</v>
      </c>
      <c r="D7" s="15" t="n">
        <f aca="false">D4*Assumptions!$B$13</f>
        <v>3.2</v>
      </c>
      <c r="E7" s="15" t="n">
        <f aca="false">E4*Assumptions!$B$13</f>
        <v>3.2</v>
      </c>
    </row>
    <row r="8" customFormat="false" ht="15" hidden="false" customHeight="true" outlineLevel="0" collapsed="false">
      <c r="A8" s="17" t="s">
        <v>81</v>
      </c>
      <c r="B8" s="16" t="n">
        <f aca="false">B5+B6+B7</f>
        <v>263.759475</v>
      </c>
      <c r="C8" s="16" t="n">
        <f aca="false">C5+C6+C7</f>
        <v>215.218717</v>
      </c>
      <c r="D8" s="16" t="n">
        <f aca="false">D5+D6+D7</f>
        <v>215.218717</v>
      </c>
      <c r="E8" s="16" t="n">
        <f aca="false">E5+E6+E7</f>
        <v>215.218717</v>
      </c>
    </row>
    <row r="9" customFormat="false" ht="15" hidden="false" customHeight="true" outlineLevel="0" collapsed="false">
      <c r="A9" s="5" t="s">
        <v>82</v>
      </c>
      <c r="B9" s="20" t="n">
        <f aca="false">1</f>
        <v>1</v>
      </c>
      <c r="C9" s="20" t="n">
        <f aca="false">2</f>
        <v>2</v>
      </c>
      <c r="D9" s="20" t="n">
        <f aca="false">3</f>
        <v>3</v>
      </c>
      <c r="E9" s="20" t="n">
        <f aca="false">4</f>
        <v>4</v>
      </c>
    </row>
    <row r="10" customFormat="false" ht="15" hidden="false" customHeight="true" outlineLevel="0" collapsed="false">
      <c r="A10" s="5" t="s">
        <v>83</v>
      </c>
      <c r="B10" s="15" t="n">
        <f aca="false">B8/B9</f>
        <v>263.759475</v>
      </c>
      <c r="C10" s="15" t="n">
        <f aca="false">C8/C9</f>
        <v>107.6093585</v>
      </c>
      <c r="D10" s="15" t="n">
        <f aca="false">D8/D9</f>
        <v>71.7395723333333</v>
      </c>
      <c r="E10" s="15" t="n">
        <f aca="false">E8/E9</f>
        <v>53.80467925</v>
      </c>
    </row>
    <row r="11" customFormat="false" ht="15" hidden="false" customHeight="true" outlineLevel="0" collapsed="false">
      <c r="A11" s="5" t="s">
        <v>84</v>
      </c>
      <c r="B11" s="15" t="n">
        <f aca="false">B10/5</f>
        <v>52.751895</v>
      </c>
      <c r="C11" s="15" t="n">
        <f aca="false">C10/5</f>
        <v>21.5218717</v>
      </c>
      <c r="D11" s="15" t="n">
        <f aca="false">D10/5</f>
        <v>14.3479144666667</v>
      </c>
      <c r="E11" s="15" t="n">
        <f aca="false">E10/5</f>
        <v>10.76093585</v>
      </c>
    </row>
    <row r="12" customFormat="false" ht="15" hidden="false" customHeight="true" outlineLevel="0" collapsed="false">
      <c r="A12" s="5" t="s">
        <v>85</v>
      </c>
      <c r="B12" s="21" t="n">
        <f aca="false">B8*Assumptions!$B$14</f>
        <v>2241955.5375</v>
      </c>
      <c r="C12" s="21" t="n">
        <f aca="false">C8*Assumptions!$B$14</f>
        <v>1829359.0945</v>
      </c>
      <c r="D12" s="21" t="n">
        <f aca="false">D8*Assumptions!$B$14</f>
        <v>1829359.0945</v>
      </c>
      <c r="E12" s="21" t="n">
        <f aca="false">E8*Assumptions!$B$14</f>
        <v>1829359.0945</v>
      </c>
    </row>
    <row r="13" customFormat="false" ht="15" hidden="false" customHeight="true" outlineLevel="0" collapsed="false">
      <c r="A13" s="5" t="s">
        <v>86</v>
      </c>
      <c r="B13" s="21" t="n">
        <f aca="false">B4*Assumptions!$B$12</f>
        <v>112500</v>
      </c>
      <c r="C13" s="21" t="n">
        <f aca="false">C4*Assumptions!$B$12</f>
        <v>30000</v>
      </c>
      <c r="D13" s="21" t="n">
        <f aca="false">D4*Assumptions!$B$12</f>
        <v>30000</v>
      </c>
      <c r="E13" s="21" t="n">
        <f aca="false">E4*Assumptions!$B$12</f>
        <v>30000</v>
      </c>
    </row>
    <row r="14" customFormat="false" ht="15" hidden="false" customHeight="true" outlineLevel="0" collapsed="false">
      <c r="A14" s="5" t="s">
        <v>87</v>
      </c>
      <c r="B14" s="21" t="n">
        <f aca="false">B11*Assumptions!$B$15</f>
        <v>316511.37</v>
      </c>
      <c r="C14" s="21" t="n">
        <f aca="false">C11*Assumptions!$B$15</f>
        <v>129131.2302</v>
      </c>
      <c r="D14" s="21" t="n">
        <f aca="false">D11*Assumptions!$B$15</f>
        <v>86087.4868</v>
      </c>
      <c r="E14" s="21" t="n">
        <f aca="false">E11*Assumptions!$B$15</f>
        <v>64565.6151</v>
      </c>
    </row>
    <row r="15" customFormat="false" ht="15" hidden="false" customHeight="true" outlineLevel="0" collapsed="false">
      <c r="A15" s="17" t="s">
        <v>88</v>
      </c>
      <c r="B15" s="18" t="n">
        <f aca="false">B12+B13+B14</f>
        <v>2670966.9075</v>
      </c>
      <c r="C15" s="18" t="n">
        <f aca="false">C12+C13+C14</f>
        <v>1988490.3247</v>
      </c>
      <c r="D15" s="18" t="n">
        <f aca="false">D12+D13+D14</f>
        <v>1945446.5813</v>
      </c>
      <c r="E15" s="18" t="n">
        <f aca="false">E12+E13+E14</f>
        <v>1923924.7096</v>
      </c>
    </row>
    <row r="16" customFormat="false" ht="15" hidden="false" customHeight="true" outlineLevel="0" collapsed="false">
      <c r="A16" s="17" t="s">
        <v>89</v>
      </c>
      <c r="C16" s="22" t="n">
        <f aca="false">$B$15-C15</f>
        <v>682476.5828</v>
      </c>
      <c r="D16" s="22" t="n">
        <f aca="false">$B$15-D15</f>
        <v>725520.3262</v>
      </c>
      <c r="E16" s="22" t="n">
        <f aca="false">$B$15-E15</f>
        <v>747042.1979</v>
      </c>
    </row>
    <row r="17" customFormat="false" ht="15" hidden="false" customHeight="true" outlineLevel="0" collapsed="false">
      <c r="A17" s="17" t="s">
        <v>90</v>
      </c>
      <c r="C17" s="23" t="n">
        <f aca="false">C16/Assumptions!$B$20</f>
        <v>718396.402947369</v>
      </c>
      <c r="D17" s="23" t="n">
        <f aca="false">D16/Assumptions!$B$20</f>
        <v>763705.606526316</v>
      </c>
      <c r="E17" s="23" t="n">
        <f aca="false">E16/Assumptions!$B$20</f>
        <v>786360.20831579</v>
      </c>
    </row>
    <row r="19" customFormat="false" ht="15" hidden="false" customHeight="true" outlineLevel="0" collapsed="false">
      <c r="A19" s="7" t="s">
        <v>91</v>
      </c>
    </row>
    <row r="20" customFormat="false" ht="15" hidden="false" customHeight="true" outlineLevel="0" collapsed="false">
      <c r="A20" s="7" t="s">
        <v>92</v>
      </c>
    </row>
    <row r="21" customFormat="false" ht="15" hidden="false" customHeight="true" outlineLevel="0" collapsed="false">
      <c r="A21" s="7" t="s">
        <v>93</v>
      </c>
    </row>
    <row r="22" customFormat="false" ht="15" hidden="false" customHeight="true" outlineLevel="0" collapsed="false">
      <c r="A22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6" min="5" style="1" width="12"/>
  </cols>
  <sheetData>
    <row r="1" customFormat="false" ht="15.75" hidden="false" customHeight="true" outlineLevel="0" collapsed="false">
      <c r="A1" s="2" t="s">
        <v>95</v>
      </c>
    </row>
    <row r="2" customFormat="false" ht="15" hidden="false" customHeight="true" outlineLevel="0" collapsed="false">
      <c r="A2" s="3" t="s">
        <v>96</v>
      </c>
    </row>
    <row r="4" customFormat="false" ht="15" hidden="false" customHeight="true" outlineLevel="0" collapsed="false">
      <c r="A4" s="19" t="s">
        <v>97</v>
      </c>
      <c r="B4" s="19" t="s">
        <v>98</v>
      </c>
      <c r="C4" s="19" t="s">
        <v>41</v>
      </c>
      <c r="D4" s="19" t="s">
        <v>99</v>
      </c>
      <c r="E4" s="19" t="s">
        <v>100</v>
      </c>
      <c r="F4" s="19" t="s">
        <v>101</v>
      </c>
    </row>
    <row r="5" customFormat="false" ht="15" hidden="false" customHeight="true" outlineLevel="0" collapsed="false">
      <c r="A5" s="5" t="s">
        <v>102</v>
      </c>
      <c r="B5" s="5" t="s">
        <v>103</v>
      </c>
      <c r="C5" s="5" t="s">
        <v>60</v>
      </c>
      <c r="D5" s="15" t="n">
        <f aca="false">'Scope &amp; Durations'!K7*(1-Assumptions!$B$17)</f>
        <v>23.342378</v>
      </c>
      <c r="E5" s="24" t="n">
        <f aca="false">Assumptions!$B$22</f>
        <v>46482</v>
      </c>
      <c r="F5" s="24" t="n">
        <f aca="false">WORKDAY(E5,MAX(ROUND(D5,0),1))</f>
        <v>46513</v>
      </c>
    </row>
    <row r="6" customFormat="false" ht="15" hidden="false" customHeight="true" outlineLevel="0" collapsed="false">
      <c r="A6" s="5" t="s">
        <v>102</v>
      </c>
      <c r="B6" s="5" t="s">
        <v>103</v>
      </c>
      <c r="C6" s="5" t="s">
        <v>57</v>
      </c>
      <c r="D6" s="15" t="n">
        <f aca="false">'Scope &amp; Durations'!K4*(1-Assumptions!$B$17)</f>
        <v>14.315338</v>
      </c>
      <c r="E6" s="24" t="n">
        <f aca="false">WORKDAY(F5,1)</f>
        <v>46514</v>
      </c>
      <c r="F6" s="24" t="n">
        <f aca="false">WORKDAY(E6,MAX(ROUND(D6,0),1))</f>
        <v>46534</v>
      </c>
    </row>
    <row r="7" customFormat="false" ht="15" hidden="false" customHeight="true" outlineLevel="0" collapsed="false">
      <c r="A7" s="5" t="s">
        <v>102</v>
      </c>
      <c r="B7" s="5" t="s">
        <v>103</v>
      </c>
      <c r="C7" s="5" t="s">
        <v>62</v>
      </c>
      <c r="D7" s="15" t="n">
        <f aca="false">'Scope &amp; Durations'!K9*(1-Assumptions!$B$17)</f>
        <v>11.861238</v>
      </c>
      <c r="E7" s="24" t="n">
        <f aca="false">WORKDAY(F6,1)</f>
        <v>46535</v>
      </c>
      <c r="F7" s="24" t="n">
        <f aca="false">WORKDAY(E7,MAX(ROUND(D7,0),1))</f>
        <v>46553</v>
      </c>
    </row>
    <row r="8" customFormat="false" ht="15" hidden="false" customHeight="true" outlineLevel="0" collapsed="false">
      <c r="A8" s="5" t="s">
        <v>104</v>
      </c>
      <c r="B8" s="5" t="s">
        <v>105</v>
      </c>
      <c r="C8" s="5" t="s">
        <v>63</v>
      </c>
      <c r="D8" s="15" t="n">
        <f aca="false">'Scope &amp; Durations'!K10*(1-Assumptions!$B$17)</f>
        <v>20.091834</v>
      </c>
      <c r="E8" s="24" t="n">
        <f aca="false">Assumptions!$B$22</f>
        <v>46482</v>
      </c>
      <c r="F8" s="24" t="n">
        <f aca="false">WORKDAY(E8,MAX(ROUND(D8,0),1))</f>
        <v>46510</v>
      </c>
    </row>
    <row r="9" customFormat="false" ht="15" hidden="false" customHeight="true" outlineLevel="0" collapsed="false">
      <c r="A9" s="5" t="s">
        <v>104</v>
      </c>
      <c r="B9" s="5" t="s">
        <v>105</v>
      </c>
      <c r="C9" s="5" t="s">
        <v>56</v>
      </c>
      <c r="D9" s="15" t="n">
        <f aca="false">'Scope &amp; Durations'!K3*(1-Assumptions!$B$17)</f>
        <v>14.610083</v>
      </c>
      <c r="E9" s="24" t="n">
        <f aca="false">WORKDAY(F8,1)</f>
        <v>46511</v>
      </c>
      <c r="F9" s="24" t="n">
        <f aca="false">WORKDAY(E9,MAX(ROUND(D9,0),1))</f>
        <v>46532</v>
      </c>
    </row>
    <row r="10" customFormat="false" ht="15" hidden="false" customHeight="true" outlineLevel="0" collapsed="false">
      <c r="A10" s="5" t="s">
        <v>104</v>
      </c>
      <c r="B10" s="5" t="s">
        <v>105</v>
      </c>
      <c r="C10" s="5" t="s">
        <v>59</v>
      </c>
      <c r="D10" s="15" t="n">
        <f aca="false">'Scope &amp; Durations'!K6*(1-Assumptions!$B$17)</f>
        <v>13.851842</v>
      </c>
      <c r="E10" s="24" t="n">
        <f aca="false">WORKDAY(F9,1)</f>
        <v>46533</v>
      </c>
      <c r="F10" s="24" t="n">
        <f aca="false">WORKDAY(E10,MAX(ROUND(D10,0),1))</f>
        <v>46553</v>
      </c>
    </row>
    <row r="11" customFormat="false" ht="15" hidden="false" customHeight="true" outlineLevel="0" collapsed="false">
      <c r="A11" s="5" t="s">
        <v>104</v>
      </c>
      <c r="B11" s="5" t="s">
        <v>105</v>
      </c>
      <c r="C11" s="5" t="s">
        <v>68</v>
      </c>
      <c r="D11" s="15" t="n">
        <f aca="false">'Scope &amp; Durations'!K15*(1-Assumptions!$B$17)</f>
        <v>2.303404</v>
      </c>
      <c r="E11" s="24" t="n">
        <f aca="false">WORKDAY(F10,1)</f>
        <v>46554</v>
      </c>
      <c r="F11" s="24" t="n">
        <f aca="false">WORKDAY(E11,MAX(ROUND(D11,0),1))</f>
        <v>46556</v>
      </c>
    </row>
    <row r="12" customFormat="false" ht="15" hidden="false" customHeight="true" outlineLevel="0" collapsed="false">
      <c r="A12" s="5" t="s">
        <v>106</v>
      </c>
      <c r="B12" s="5" t="s">
        <v>107</v>
      </c>
      <c r="C12" s="5" t="s">
        <v>66</v>
      </c>
      <c r="D12" s="15" t="n">
        <f aca="false">'Scope &amp; Durations'!K13*(1-Assumptions!$B$17)</f>
        <v>19.309305</v>
      </c>
      <c r="E12" s="24" t="n">
        <f aca="false">Assumptions!$B$22</f>
        <v>46482</v>
      </c>
      <c r="F12" s="24" t="n">
        <f aca="false">WORKDAY(E12,MAX(ROUND(D12,0),1))</f>
        <v>46507</v>
      </c>
    </row>
    <row r="13" customFormat="false" ht="15" hidden="false" customHeight="true" outlineLevel="0" collapsed="false">
      <c r="A13" s="5" t="s">
        <v>106</v>
      </c>
      <c r="B13" s="5" t="s">
        <v>107</v>
      </c>
      <c r="C13" s="5" t="s">
        <v>55</v>
      </c>
      <c r="D13" s="15" t="n">
        <f aca="false">'Scope &amp; Durations'!K2*(1-Assumptions!$B$17)</f>
        <v>18.573328</v>
      </c>
      <c r="E13" s="24" t="n">
        <f aca="false">WORKDAY(F12,1)</f>
        <v>46510</v>
      </c>
      <c r="F13" s="24" t="n">
        <f aca="false">WORKDAY(E13,MAX(ROUND(D13,0),1))</f>
        <v>46535</v>
      </c>
    </row>
    <row r="14" customFormat="false" ht="15" hidden="false" customHeight="true" outlineLevel="0" collapsed="false">
      <c r="A14" s="5" t="s">
        <v>106</v>
      </c>
      <c r="B14" s="5" t="s">
        <v>107</v>
      </c>
      <c r="C14" s="5" t="s">
        <v>61</v>
      </c>
      <c r="D14" s="15" t="n">
        <f aca="false">'Scope &amp; Durations'!K8*(1-Assumptions!$B$17)</f>
        <v>11.231521</v>
      </c>
      <c r="E14" s="24" t="n">
        <f aca="false">WORKDAY(F13,1)</f>
        <v>46538</v>
      </c>
      <c r="F14" s="24" t="n">
        <f aca="false">WORKDAY(E14,MAX(ROUND(D14,0),1))</f>
        <v>46553</v>
      </c>
    </row>
    <row r="15" customFormat="false" ht="15" hidden="false" customHeight="true" outlineLevel="0" collapsed="false">
      <c r="A15" s="5" t="s">
        <v>106</v>
      </c>
      <c r="B15" s="5" t="s">
        <v>107</v>
      </c>
      <c r="C15" s="5" t="s">
        <v>64</v>
      </c>
      <c r="D15" s="15" t="n">
        <f aca="false">'Scope &amp; Durations'!K11*(1-Assumptions!$B$17)</f>
        <v>0.036685</v>
      </c>
      <c r="E15" s="24" t="n">
        <f aca="false">WORKDAY(F14,1)</f>
        <v>46554</v>
      </c>
      <c r="F15" s="24" t="n">
        <f aca="false">WORKDAY(E15,MAX(ROUND(D15,0),1))</f>
        <v>46555</v>
      </c>
    </row>
    <row r="16" customFormat="false" ht="15" hidden="false" customHeight="true" outlineLevel="0" collapsed="false">
      <c r="A16" s="5" t="s">
        <v>108</v>
      </c>
      <c r="B16" s="5" t="s">
        <v>103</v>
      </c>
      <c r="C16" s="5" t="s">
        <v>58</v>
      </c>
      <c r="D16" s="15" t="n">
        <f aca="false">'Scope &amp; Durations'!K5*(1-Assumptions!$B$17)</f>
        <v>19.23214</v>
      </c>
      <c r="E16" s="24" t="n">
        <f aca="false">WORKDAY(F7,1)</f>
        <v>46554</v>
      </c>
      <c r="F16" s="24" t="n">
        <f aca="false">WORKDAY(E16,MAX(ROUND(D16,0),1))</f>
        <v>46581</v>
      </c>
    </row>
    <row r="17" customFormat="false" ht="15" hidden="false" customHeight="true" outlineLevel="0" collapsed="false">
      <c r="A17" s="5" t="s">
        <v>108</v>
      </c>
      <c r="B17" s="5" t="s">
        <v>103</v>
      </c>
      <c r="C17" s="5" t="s">
        <v>65</v>
      </c>
      <c r="D17" s="15" t="n">
        <f aca="false">'Scope &amp; Durations'!K12*(1-Assumptions!$B$17)</f>
        <v>18.79445</v>
      </c>
      <c r="E17" s="24" t="n">
        <f aca="false">WORKDAY(F16,1)</f>
        <v>46582</v>
      </c>
      <c r="F17" s="24" t="n">
        <f aca="false">WORKDAY(E17,MAX(ROUND(D17,0),1))</f>
        <v>46609</v>
      </c>
    </row>
    <row r="18" customFormat="false" ht="15" hidden="false" customHeight="true" outlineLevel="0" collapsed="false">
      <c r="A18" s="5" t="s">
        <v>108</v>
      </c>
      <c r="B18" s="5" t="s">
        <v>103</v>
      </c>
      <c r="C18" s="5" t="s">
        <v>67</v>
      </c>
      <c r="D18" s="15" t="n">
        <f aca="false">'Scope &amp; Durations'!K14*(1-Assumptions!$B$17)</f>
        <v>9.76488</v>
      </c>
      <c r="E18" s="24" t="n">
        <f aca="false">WORKDAY(F17,1)</f>
        <v>46610</v>
      </c>
      <c r="F18" s="24" t="n">
        <f aca="false">WORKDAY(E18,MAX(ROUND(D18,0),1))</f>
        <v>46624</v>
      </c>
    </row>
    <row r="19" customFormat="false" ht="15" hidden="false" customHeight="true" outlineLevel="0" collapsed="false">
      <c r="A19" s="5" t="s">
        <v>108</v>
      </c>
      <c r="B19" s="5" t="s">
        <v>103</v>
      </c>
      <c r="C19" s="5" t="s">
        <v>69</v>
      </c>
      <c r="D19" s="15" t="n">
        <f aca="false">'Scope &amp; Durations'!K16*(1-Assumptions!$B$17)</f>
        <v>6.700291</v>
      </c>
      <c r="E19" s="24" t="n">
        <f aca="false">WORKDAY(F18,1)</f>
        <v>46625</v>
      </c>
      <c r="F19" s="24" t="n">
        <f aca="false">WORKDAY(E19,MAX(ROUND(D19,0),1))</f>
        <v>46636</v>
      </c>
    </row>
    <row r="21" customFormat="false" ht="15" hidden="false" customHeight="true" outlineLevel="0" collapsed="false">
      <c r="A21" s="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2026-08-06T02:05:14Z</dcterms:created>
  <dc:creator>openpyxl</dc:creator>
  <dc:description/>
  <dc:language>en-US</dc:language>
  <cp:lastModifiedBy/>
  <dcterms:modified xsi:type="dcterms:W3CDTF">2026-08-06T12:33:54Z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